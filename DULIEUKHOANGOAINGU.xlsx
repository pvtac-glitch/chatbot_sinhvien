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PHAM VAN TAC\Downloads\"/>
    </mc:Choice>
  </mc:AlternateContent>
  <xr:revisionPtr revIDLastSave="0" documentId="13_ncr:1_{837E37E3-2C5D-47E0-B395-6EAB4A471260}" xr6:coauthVersionLast="47" xr6:coauthVersionMax="47" xr10:uidLastSave="{00000000-0000-0000-0000-000000000000}"/>
  <bookViews>
    <workbookView xWindow="-110" yWindow="-110" windowWidth="19420" windowHeight="12300" firstSheet="2" activeTab="2" xr2:uid="{D56E0207-1AE6-4518-8C86-CD8FD9AEE78F}"/>
  </bookViews>
  <sheets>
    <sheet name="TONGQUAT" sheetId="1" r:id="rId1"/>
    <sheet name="GIANGVIEN" sheetId="2" r:id="rId2"/>
    <sheet name="CHUONGTRINHDAOTAO" sheetId="3" r:id="rId3"/>
    <sheet name="HOCPHI" sheetId="4" r:id="rId4"/>
    <sheet name="HOCBONG" sheetId="5" r:id="rId5"/>
    <sheet name="THUCTAP" sheetId="6" r:id="rId6"/>
    <sheet name="NGHIENCUUKHOAHOC" sheetId="7" r:id="rId7"/>
    <sheet name="CAULACBO" sheetId="8" r:id="rId8"/>
    <sheet name="DOANHOI" sheetId="9" r:id="rId9"/>
    <sheet name="KHAC" sheetId="1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00" i="3" l="1"/>
  <c r="G99" i="3"/>
  <c r="F99" i="3"/>
  <c r="E44" i="3"/>
  <c r="E13" i="3"/>
  <c r="E43" i="3" l="1"/>
  <c r="E99" i="3" s="1"/>
  <c r="E101" i="3" s="1"/>
  <c r="E103" i="3" s="1"/>
  <c r="E102" i="3"/>
</calcChain>
</file>

<file path=xl/sharedStrings.xml><?xml version="1.0" encoding="utf-8"?>
<sst xmlns="http://schemas.openxmlformats.org/spreadsheetml/2006/main" count="362" uniqueCount="268">
  <si>
    <t>GIỚI THIỆU VỀ KHOA</t>
  </si>
  <si>
    <t xml:space="preserve">Khoa Ngoại ngữ, Trường Đại học Đồng Tháp được hình thành trên cơ sở Khoa Ngoại ngữ, Trường Cao đẳng Sư phạm Đồng Tháp và chính thức tuyển sinh hệ đại học chuyên ngành Sư phạm Tiếng Anh vào năm học 2003-2004.
Đến năm học 2013 – 2014 Khoa đổi tên thành “khoa Sư phạm Ngoại ngữ”, theo Quyết định số 273/QĐ-ĐHĐT ngày 9 tháng 5 năm 2013 của Hiệu trưởng Trường ĐH Đồng Tháp.
Đến năm học 2020 - 2021 Khoa đổi tên thành "khoa Ngoại ngữ", theo Nghị quyết số 11/NQ-HĐT, ngày 5 tháng 11 năm 2020 của Hội đồng trường, Trường Đại học Đồng Tháp. </t>
  </si>
  <si>
    <t>lịch sử hình thành</t>
  </si>
  <si>
    <t xml:space="preserve">
-Xây dựng và phát triển chương trình, kế hoạch đào tạo và bồi dưỡng các trình độ cao đẳng và đại học các chuyên ngành ngoại ngữ.
-Tổ chức, quản lí quy trình đào tạo, đảm bảo chất lượng, nội dung, phương pháp đào tạo, đổi mới phương pháp giảng dạy, học tập các bộ môn ngoại ngữ.
-Tổ chức biên soạn giáo trình, bài giảng, tài liệu học tập, tài liệu tham khảo cho các bộ môn ngoại ngữ theo quy định của nhà trường, của ngành.
-Tổ chức các hoạt động nghiên cứu khoa học – công nghệ phục vụ cho công tác đào tạo, bồi dưỡng giáo viên ngoại ngữ phổ thông các cấp cho khu vực đồng bằng sông Cửu Long và các tỉnh khác ngoài khu vực.
-Tham gia các hoạt động dịch vụ liên quan đến các chương trình đào tạo, bồi dưỡng ngoại ngữ.</t>
  </si>
  <si>
    <t>2. Chức năng, nhiệm vụ</t>
  </si>
  <si>
    <t xml:space="preserve">
- Gồm 3 tổ bộ môn:
     1. Bộ môn Sư phạm tiếng Anh
     2. Bộ môn Ngôn ngữ Anh
     3. Bộ môn Ngôn ngữ Trung Quốc
- Trưởng khoa: Tiến sĩ. Võ Phan Thu Ngân
- Phó Trưởng khoa: ThS. Trần Thị Kim Trang
- Phó Trưởng khoa: Tiến sĩ. Trần Thanh Tâm
- Phụ trách bộ môn Sư phạm tiếng Anh: Thạc sĩ. Phan Thùy Trang
- Phụ trách bộ môn Ngôn ngữ Anh: TS. Võ Phan Thu Ngân
- Phụ trách bộ môn Ngôn ngữ Trung Quốc: Tiến sĩ. Trần Thanh Tâm
- Tổng số cán bộ, giảng viên cơ hữu: 41 (Phó Giáo sư: 01; Tiến sĩ: 08; Nghiên cứu sinh: 03; Thạc sĩ: 24; Đại học: 05).
- Tổng số sinh viên: chính quy: 2.674; học viên VLVH: 400; học viên từ xa: hơn 2000  (năm học 2025-2026) </t>
  </si>
  <si>
    <t>3. Cơ cấu tổ chức</t>
  </si>
  <si>
    <t xml:space="preserve">
- Sư phạm Tiếng Anh (ĐH chính quy, VLVH, ĐH văn bằng thứ hai)
- Sư phạm Tiếng Trung Quốc (ĐH chính quy)
- Ngôn ngữ Anh
       Biên - phiên dịch (ĐH chính quy, ĐH văn bằng thứ 2 VLVH, Từ xa)
       Tiếng Anh kinh doanh (ĐH chính quy)
       Tiếng Anh du lịch (ĐH chính quy)
- Ngôn ngữ Trung Quốc (ĐH chính quy, ĐH văn bằng thứ 2 VLVH, Từ xa)
Ngôn ngữ Trung Quốc (ĐH chính quy, ĐH văn bằng thứ 2)
Ngôn ngữ Trung - Anh (ĐH chính quy)</t>
  </si>
  <si>
    <t>4. Các chuyên ngành đào tạo</t>
  </si>
  <si>
    <t>5. Danh hiệu đạt được</t>
  </si>
  <si>
    <t>2007: Tập thể Lao động Tiên tiến cấp cơ sở, Số 710/QĐ-ĐHSPĐT ngày 2 tháng 10 năm 2007; Trường Đại học Đồng Tháp
2008: Tập thể Lao động Tiên tiến cấp cơ sở, Số 517/QĐ-ĐHSPĐT ngày 12 tháng 9 năm 2008; Trường Đại học Đồng Tháp
2009: Tập thể Lao động Tiên tiến cấp cơ sở, Số 524/QĐ-ĐHĐT ngày 15 tháng 9 năm 2009; Trường Đại học Đồng Tháp
2011: Tập thể Lao động Tiên tiến cấp cơ sở, Số 536/QĐ-ĐHĐT ngày 22 tháng 8 năm 2011; Trường Đại học Đồng Tháp
2011: Tập thể Lao động xuất sắc, Số 309/QĐ-UBND.KT, ngày 5/5/2011; UBND tỉnh Đồng Tháp
2013: Tập thể Lao động xuất sắc, Số 372/QĐ-UBND.KT, ngày 6/8/2013; UBND tỉnh Đồng Tháp
2014: Tập thể Lao động xuất sắc, Số 4552/QĐ-BGDĐT, ngày 15/10/2014; Bộ GDĐT
2015: Tập thể Lao động Xuất sắc, Số 5039/QĐ-BGDĐT, ngày 03/11/2015; Bộ GDĐT
2017: Tập thể Lao động Xuất sắc, Số 3383/QĐ-BGDĐT, ngày 12/09/2017; Bộ GDĐT
2018: Tập thể hoàn thành xuất sắc nhiệm vụ, Số 3460/QĐ-BGDĐT, ngày 13/09/2018; Bộ GDĐT
2019: Tập thể Lao động Xuất sắc, Số 4143/QĐ-BGDĐT, ngày 04/11/2019; Bộ GDĐT
2019: Đã có thành tích tiêu biểu Xuất sắc trong năm học 2018-2019, Cờ thi đua của Bộ Giáo dục – Đào tạo
2020: Tập thể Lao động Xuất sắc: Số 2020/QĐ – ĐHĐT ngày 27/10/2020; Trường Đại học Đồng Tháp
2021: Đã có thành tích tiêu biểu Xuất sắc trong năm học 2020-2021
5. Danh hiệu đạt được</t>
  </si>
  <si>
    <t>Tiếng Anh Biên-phiên dịch</t>
  </si>
  <si>
    <t>Sư phạm tiếng Trung</t>
  </si>
  <si>
    <t>Ngôn ngữ Trung</t>
  </si>
  <si>
    <t>CHUẨN ĐẦU RA</t>
  </si>
  <si>
    <t>KHUNG CHƯƠNG TRÌNH</t>
  </si>
  <si>
    <t>CỘNG HOÀ XÃ HỘI CHỦ NGHĨA VIỆT NAM</t>
  </si>
  <si>
    <t>TRƯỜNG ĐẠI HỌC ĐỒNG THÁP</t>
  </si>
  <si>
    <t>Độc lập - Tự do - Hạnh phúc</t>
  </si>
  <si>
    <t>KHUNG CHƯƠNG TRÌNH ĐÀO TẠO</t>
  </si>
  <si>
    <t>Ngành đào tạo: Ngôn ngữ Anh
(Chuyên ngành Biên - Phiên dịch)</t>
  </si>
  <si>
    <t>Khoá đào tạo: 2024</t>
  </si>
  <si>
    <t>Trình độ đào tạo: Đại học</t>
  </si>
  <si>
    <t>Hình thức đào tạo: Chính quy</t>
  </si>
  <si>
    <t>(Ban hành kèm theo Quyết định số  …....  /QĐ-ĐHĐT ngày   …..    tháng  ,,,,,,  năm 2024
 của Hiệu trưởng Trường Đại học  Đồng Tháp)</t>
  </si>
  <si>
    <t>TT</t>
  </si>
  <si>
    <t>MÃ HP</t>
  </si>
  <si>
    <t>TÊN HỌC PHẦN</t>
  </si>
  <si>
    <t>SỐ TC</t>
  </si>
  <si>
    <t>Giờ TC</t>
  </si>
  <si>
    <t>HỌC PHẦN ĐIỀU KIỆN</t>
  </si>
  <si>
    <t>TIẾN ĐỘ</t>
  </si>
  <si>
    <t>LT</t>
  </si>
  <si>
    <t>TH</t>
  </si>
  <si>
    <t>TQ</t>
  </si>
  <si>
    <t>HT</t>
  </si>
  <si>
    <t>SH</t>
  </si>
  <si>
    <t>A. Kiến thức giáo dục đại cương</t>
  </si>
  <si>
    <t>I. Giáo dục quốc phòng</t>
  </si>
  <si>
    <t>GE4165</t>
  </si>
  <si>
    <t>Đường lối quốc phòng và an ninh của Đảng Cộng sản Việt Nam*</t>
  </si>
  <si>
    <t>GE4150</t>
  </si>
  <si>
    <t>Công tác quốc phòng, an ninh*</t>
  </si>
  <si>
    <t>GE4166</t>
  </si>
  <si>
    <t>Quân sự chung*</t>
  </si>
  <si>
    <t>GE4167</t>
  </si>
  <si>
    <t>Kỹ thuật chiến đấu bộ binh và chiến thuật*</t>
  </si>
  <si>
    <t>II. Giáo dục thể chất</t>
  </si>
  <si>
    <t>2.1. Học phần bắt buộc</t>
  </si>
  <si>
    <t>GE4306</t>
  </si>
  <si>
    <t>Giáo dục thể chất 1*</t>
  </si>
  <si>
    <t>GE4334</t>
  </si>
  <si>
    <t>Giáo dục thể chất 2* (Bơi lội)</t>
  </si>
  <si>
    <t>2.2. Học phần tự chọn (chọn ít nhất 1 TC)</t>
  </si>
  <si>
    <t>GE4335</t>
  </si>
  <si>
    <t>Bóng đá*</t>
  </si>
  <si>
    <t>GE4336</t>
  </si>
  <si>
    <t>Bóng chuyền*</t>
  </si>
  <si>
    <t>GE4337</t>
  </si>
  <si>
    <t>Cầu lông*</t>
  </si>
  <si>
    <t>GE4338</t>
  </si>
  <si>
    <t>Võ thuật Vovinam*</t>
  </si>
  <si>
    <t>GE4339</t>
  </si>
  <si>
    <t>Võ thuật Karatedo*</t>
  </si>
  <si>
    <t>GE4340</t>
  </si>
  <si>
    <t>Cờ vua*</t>
  </si>
  <si>
    <t>GE4341</t>
  </si>
  <si>
    <t>Bóng bàn*</t>
  </si>
  <si>
    <t>GE4342</t>
  </si>
  <si>
    <t>Bóng ném*</t>
  </si>
  <si>
    <t>GE4343</t>
  </si>
  <si>
    <t>Bóng rổ*</t>
  </si>
  <si>
    <t>GE4344</t>
  </si>
  <si>
    <t>Tennis (Quần vợt)*</t>
  </si>
  <si>
    <t>GE4345</t>
  </si>
  <si>
    <t>Đá cầu*</t>
  </si>
  <si>
    <t>III. Đại cương chung</t>
  </si>
  <si>
    <t>EN4501</t>
  </si>
  <si>
    <t>Nhập môn nghề nghiệp</t>
  </si>
  <si>
    <t>GE4091</t>
  </si>
  <si>
    <t>Triết học Mác - Lênin</t>
  </si>
  <si>
    <t>GE4039</t>
  </si>
  <si>
    <t>Pháp luật Việt Nam đại cương</t>
  </si>
  <si>
    <t>GE4092</t>
  </si>
  <si>
    <t>Kinh tế chính trị Mác - Lênin</t>
  </si>
  <si>
    <t>GE4056</t>
  </si>
  <si>
    <t>Tư tưởng Hồ Chí Minh</t>
  </si>
  <si>
    <t>GE4093</t>
  </si>
  <si>
    <t>Chủ nghĩa xã hội khoa học</t>
  </si>
  <si>
    <t>GE4094</t>
  </si>
  <si>
    <t>Lịch sử Đảng Cộng sản Việt Nam</t>
  </si>
  <si>
    <t>B. Khối kiến thức giáo dục chuyên nghiệp</t>
  </si>
  <si>
    <t>I. Kiến thức cơ sở nhóm ngành</t>
  </si>
  <si>
    <t>GE4049</t>
  </si>
  <si>
    <t>Tiếng Việt thực hành</t>
  </si>
  <si>
    <t>EN4040</t>
  </si>
  <si>
    <t>Phương pháp nghiên cứu khoa học</t>
  </si>
  <si>
    <t>GE4407</t>
  </si>
  <si>
    <t>Hình thành và phát triển kỹ năng mềm</t>
  </si>
  <si>
    <t>EN4240</t>
  </si>
  <si>
    <t>Nghi thức lễ tân - lịch sử ngoại giao</t>
  </si>
  <si>
    <t>GE4003</t>
  </si>
  <si>
    <t>Cơ sở văn hóa Việt Nam</t>
  </si>
  <si>
    <t>EC4281</t>
  </si>
  <si>
    <t>Khởi nghiệp</t>
  </si>
  <si>
    <t>EC4268n</t>
  </si>
  <si>
    <t>Kỹ năng tìm kiếm việc làm</t>
  </si>
  <si>
    <t>II. Kiến thức cơ sở ngành</t>
  </si>
  <si>
    <t>EN4248</t>
  </si>
  <si>
    <t>Kỹ năng ngôn ngữ Anh 1</t>
  </si>
  <si>
    <t>EN4217</t>
  </si>
  <si>
    <t>Ngữ âm thực hành</t>
  </si>
  <si>
    <t>EN4249</t>
  </si>
  <si>
    <t>Kỹ năng ngôn ngữ Anh 2</t>
  </si>
  <si>
    <t>EN4222N</t>
  </si>
  <si>
    <t>Ngữ pháp thực hành</t>
  </si>
  <si>
    <t>EN4250</t>
  </si>
  <si>
    <t>Kỹ năng ngôn ngữ Anh 3</t>
  </si>
  <si>
    <t>EN4106</t>
  </si>
  <si>
    <t>Dẫn luận ngôn ngữ</t>
  </si>
  <si>
    <t>EN4251</t>
  </si>
  <si>
    <t>Kỹ năng ngôn ngữ Anh 4</t>
  </si>
  <si>
    <t>EN4252\</t>
  </si>
  <si>
    <t>Kỹ năng ngôn ngữ Anh 5</t>
  </si>
  <si>
    <t>EN4421</t>
  </si>
  <si>
    <t>Kỹ năng ngôn ngữ nâng cao 1</t>
  </si>
  <si>
    <t>EN4422</t>
  </si>
  <si>
    <t>Kỹ năng ngôn ngữ nâng cao 2</t>
  </si>
  <si>
    <t>III. Kiến thức chuyên ngành</t>
  </si>
  <si>
    <t>3.1. Kiến thức chuyên ngành bắt buộc</t>
  </si>
  <si>
    <t>EN4235</t>
  </si>
  <si>
    <t>Lý thuyết dịch</t>
  </si>
  <si>
    <t>EN4211</t>
  </si>
  <si>
    <t>EN4201</t>
  </si>
  <si>
    <t>Dịch nói 1</t>
  </si>
  <si>
    <t>EN4208</t>
  </si>
  <si>
    <t>Dịch viết 1</t>
  </si>
  <si>
    <t>EN4218P</t>
  </si>
  <si>
    <t>Ngữ pháp học</t>
  </si>
  <si>
    <t>EN4202</t>
  </si>
  <si>
    <t>Dịch nói 2</t>
  </si>
  <si>
    <t>EN4209</t>
  </si>
  <si>
    <t>Dịch viết 2</t>
  </si>
  <si>
    <t>EN4204</t>
  </si>
  <si>
    <t>Dịch nói 3</t>
  </si>
  <si>
    <t>Dịch viết 3</t>
  </si>
  <si>
    <t>EN4108</t>
  </si>
  <si>
    <t>Giao thoa văn hoá</t>
  </si>
  <si>
    <t>EN4205N</t>
  </si>
  <si>
    <t>Dịch nói 4</t>
  </si>
  <si>
    <t>EN4212</t>
  </si>
  <si>
    <t>Dịch viết 4</t>
  </si>
  <si>
    <t>EN4146</t>
  </si>
  <si>
    <t>Kỹ năng thuyết trình</t>
  </si>
  <si>
    <t>EN4238N</t>
  </si>
  <si>
    <t>Văn hóa Anh - Mỹ</t>
  </si>
  <si>
    <t>EN4226</t>
  </si>
  <si>
    <t>Từ vựng - Ngữ nghĩa học</t>
  </si>
  <si>
    <t xml:space="preserve">3.2. Kiến thức chuyên ngành tự chọn </t>
  </si>
  <si>
    <t>EN4229</t>
  </si>
  <si>
    <t>Văn học Anh</t>
  </si>
  <si>
    <t>EN4230</t>
  </si>
  <si>
    <t>Văn học Mỹ</t>
  </si>
  <si>
    <t>EN4233</t>
  </si>
  <si>
    <t>Viết học thuật</t>
  </si>
  <si>
    <t>EN4118</t>
  </si>
  <si>
    <t>Ngữ dụng học</t>
  </si>
  <si>
    <t>EN4143</t>
  </si>
  <si>
    <t>Cú pháp học</t>
  </si>
  <si>
    <t>EN4126</t>
  </si>
  <si>
    <t>Phân tích diễn ngôn</t>
  </si>
  <si>
    <t>EN4144</t>
  </si>
  <si>
    <t>Phong cách học</t>
  </si>
  <si>
    <t>EN4127</t>
  </si>
  <si>
    <t>Phân tích lỗi</t>
  </si>
  <si>
    <t>EN4117</t>
  </si>
  <si>
    <t>Ngôn ngữ học đối chiếu</t>
  </si>
  <si>
    <t>IV. Khối kiến thức thực tập nghề nghiệp</t>
  </si>
  <si>
    <t>EN4491I</t>
  </si>
  <si>
    <t>Thực tập cơ sở</t>
  </si>
  <si>
    <t>EN4202
EN4209</t>
  </si>
  <si>
    <t>EN4407I</t>
  </si>
  <si>
    <t>Thực tập tốt nghiệp</t>
  </si>
  <si>
    <t>V. Khóa luận tốt nghiệp/Đồ án tốt nghiệp/Học phần thay thế</t>
  </si>
  <si>
    <t>5.1. Khóa luận tốt ngiệp</t>
  </si>
  <si>
    <t>EN4297I</t>
  </si>
  <si>
    <t>Khóa luận tốt nghiệp</t>
  </si>
  <si>
    <t>5.2. Học phần thay thế khóa luận</t>
  </si>
  <si>
    <t>EN4147</t>
  </si>
  <si>
    <t>Ứng dụng CNTT trong ngành biên - phiên dịch</t>
  </si>
  <si>
    <t>EN4237</t>
  </si>
  <si>
    <t>Tiếng Anh thương mại</t>
  </si>
  <si>
    <t>EN4236</t>
  </si>
  <si>
    <t>Tiếng Anh du lịch</t>
  </si>
  <si>
    <t>TỔNG SỐ TÍN CHỈ TOÀN KHÓA</t>
  </si>
  <si>
    <t>Tổng số tín chỉ điều kiện:</t>
  </si>
  <si>
    <t>Tổng số tín chỉ tích luỹ:</t>
  </si>
  <si>
    <t>Tổng số tín chỉ bắt buộc:</t>
  </si>
  <si>
    <t>Tổng số tín chỉ tự chọn:</t>
  </si>
  <si>
    <t>ngành</t>
  </si>
  <si>
    <t>Sư phạm tiếng Anh</t>
  </si>
  <si>
    <t>Ngôn ngữ Anh (biên-phiên dịch)</t>
  </si>
  <si>
    <t>Ngôn ngữ Anh (tiếng Anh kinh doanh)</t>
  </si>
  <si>
    <t>Ngôn ngữ Anh (tiếng Anh Du lịch)</t>
  </si>
  <si>
    <t>Ngôn ngữ Trung Anh</t>
  </si>
  <si>
    <t>học phí</t>
  </si>
  <si>
    <t>Miễn học phí</t>
  </si>
  <si>
    <t>500.000 đồng/1 tín chỉ</t>
  </si>
  <si>
    <t>Ghi chú</t>
  </si>
  <si>
    <t>thu theo học kỳ</t>
  </si>
  <si>
    <t>loại học bổng</t>
  </si>
  <si>
    <t>đối tượng</t>
  </si>
  <si>
    <t>điều kiện</t>
  </si>
  <si>
    <t>số tiền</t>
  </si>
  <si>
    <t>khuyến khích học tập</t>
  </si>
  <si>
    <t>sinh viên chính quy</t>
  </si>
  <si>
    <t>sinh viên chính quy năm nhất</t>
  </si>
  <si>
    <t>sinh viên chính quy  nói chung</t>
  </si>
  <si>
    <t>thủ khoa dầu vào</t>
  </si>
  <si>
    <t>2.000.000 đồng/1 suất</t>
  </si>
  <si>
    <t>tuyển sinh</t>
  </si>
  <si>
    <t>học lực từ khá trở lên, rèn luyện từ khá trở lên</t>
  </si>
  <si>
    <t>tính theo % tỷ lệ sinh viên trong lớp</t>
  </si>
  <si>
    <t>mỗi ngành 1 sinh viên</t>
  </si>
  <si>
    <t>Nguyễn Sinh Sắc</t>
  </si>
  <si>
    <t>học lực từ khá trở lên, rèn luyện từ khá trở lên, gia đình khó khăn</t>
  </si>
  <si>
    <t>xét theo năm</t>
  </si>
  <si>
    <t>4.500.000 đồng/suất</t>
  </si>
  <si>
    <t>1.500.000 đồng/suất</t>
  </si>
  <si>
    <t>loại hình thực tập</t>
  </si>
  <si>
    <t>địa điểm</t>
  </si>
  <si>
    <t>thời gian</t>
  </si>
  <si>
    <t>thực tập cơ sở</t>
  </si>
  <si>
    <t>thực tập tốt nghiệp</t>
  </si>
  <si>
    <t>các trường THCS trong và ngoài tỉnh</t>
  </si>
  <si>
    <t>6 tuần, học kỳ 2, năm thứ ba</t>
  </si>
  <si>
    <t>8 tuần, học kỳ 2, năm thứ tư</t>
  </si>
  <si>
    <t>các cơ quan, doanh nghiệp trong và ngoài tỉnh</t>
  </si>
  <si>
    <t>hoàn thành ít nhất 50% số tín chỉ của chương trình</t>
  </si>
  <si>
    <t>hoàn thành ít nhất 75% số tín chỉ của chương trình</t>
  </si>
  <si>
    <t>tên câu lạc bộ</t>
  </si>
  <si>
    <t>mục tiêu</t>
  </si>
  <si>
    <t>đối tượng tham gia</t>
  </si>
  <si>
    <t>thời gian tổ chức</t>
  </si>
  <si>
    <t>Câu lạc bộ EILTS</t>
  </si>
  <si>
    <t>Câu lạc bộ SV nghiên cứu khoa học</t>
  </si>
  <si>
    <t>Câu lạc bộ gia sư</t>
  </si>
  <si>
    <t>Câu lạc bộ tiếng Trung</t>
  </si>
  <si>
    <t>Câu lạc bộ chung sức</t>
  </si>
  <si>
    <t>rèn luyện các kỹ năng cho bài thi IELTS</t>
  </si>
  <si>
    <t>hỗ trợ SV nghiên cứu khoa học</t>
  </si>
  <si>
    <t>hỗ trợ sinh viên tìm việc làm thêm</t>
  </si>
  <si>
    <t>rèn luyện các kỹ năng tiếng Trung</t>
  </si>
  <si>
    <t>tham gia các hoạt động xã hội</t>
  </si>
  <si>
    <t>rèn luyện kỹ năng chơi đàn, nhạc cụ</t>
  </si>
  <si>
    <t>Câu lạc bộ âm nhạc</t>
  </si>
  <si>
    <t>câu lạc bộ thể thao</t>
  </si>
  <si>
    <t>rèn luyện, thi đấu các môn bóng đá, bóng chuyển, cầu lông, bơi</t>
  </si>
  <si>
    <t>tất cả sinh viên</t>
  </si>
  <si>
    <t>hàng tuần, tối thứ 2</t>
  </si>
  <si>
    <t>hàng tuần, tối thứ 3</t>
  </si>
  <si>
    <t>hàng tuần, tối thứ 4</t>
  </si>
  <si>
    <t>hàng tuần, tối thứ 5</t>
  </si>
  <si>
    <t>hàng tuần, tối thứ 6</t>
  </si>
  <si>
    <t>hàng tuần, tối thứ 7</t>
  </si>
  <si>
    <t>hàng tuần, tối chủ nhật</t>
  </si>
  <si>
    <t xml:space="preserve">    BỘ GIÁO DỤC VÀ ĐÀO TẠO </t>
  </si>
  <si>
    <t xml:space="preserve">MỤC TIÊU, CHUẨN ĐẦU RA CỦA CHƯƠNG TRÌNH ĐÀO TẠO
NGÀNH NGÔN NGỮ ANH
(CHUYÊN NGÀNH BIÊN – PHIÊN DỊCH)
(Ban hành kèm theo Quyết định số .........../QĐ-ĐHĐT ngày ...... tháng....... năm 2025
của Hiệu trưởng Trường Đại học Đồng Tháp)
1. THÔNG TIN TỔNG QUÁT
STT	TÊN	NỘI DUNG
1		Tên chương trình đào tạo (tiếng Việt):	Ngôn ngữ Anh (Biên – Phiên dịch)
2		Tên chương trình đào tạo (tiếng Anh):	English language (Interpretation and Translation)
3		Trình độ đào tạo:	Đại học
4		Mã ngành đào tạo:	7220201
5		Đối tượng tuyển sinh:	Tốt nghiệp THPT hoặc tương đương theo Quy định hiện hành
6		Thời gian đào tạo:	4 năm
7		Loại hình đào tạo:	Chính quy
8		Số tín chỉ yêu cầu:	120 tín chỉ (không bao gồm Giáo dục thể chất, Giáo dục Quốc phòng – An ninh và Ngoại ngữ)
9		Thang điểm:	4
10		Điều kiện tốt nghiệp:	Theo quy định hiện hành
11		Văn bằng tốt nghiệp:	Bằng Cử nhân
12		Vị trí việc làm:	1. Chuyên viên biên phiên dịch ở các phòng/sở ngoại vụ, ở các đài phát thanh, truyền hình, các văn phòng công ty có yếu tố nước ngoài…
2. Chuyên viên biên phiên dịch ở các phòng quan hệ quốc tế ở các trường đại học, viện nghiên cứu.
3. Hướng dẫn viên du lịch
4. Giáo viên tiếng Anh tại các trung tâm ngoại ngữ
13		Khả năng nâng cao trình độ:	Người tốt nghiệp có thể học lên bậc Thạc sĩ, Tiến sĩ trong nước và ngoài nước
14		Chương trình đào tạo tham khảo trong và ngoài nước	1. Ngành Ngôn ngữ Anh, Trường Đại học Cần Thơ, Việt Nam
2. Ngành Ngôn ngữ Anh, Trường Đại học Hà Nội, Việt Nam
3. Ngành Ngôn ngữ Anh, Trường Đại học Sư phạm Tp Hồ Chí Minh, Việt Nam
	2. MỤC TIÊU VÀ CHUẨN ĐẦU RA CỦA CHƯƠNG TRÌNH ĐÀO TẠO
2.1. Mục tiêu của Chương trình đào tạo (Program Objectives - POs)
2.1.1. Mục tiêu chung
Đào tạo cử nhân ngôn ngữ Anh chuyên ngành Biên – Phiên dịch có kiến thức chuyên môn, kỹ năng và kinh nghiệm về ngôn ngữ Anh phục vụ chuyên ngành, tạo sự tự tin trong thực hành hoạt động nghề nghiệp, vận dụng hiệu quả kiến thức chuyên môn, kỹ năng đa dạng vào thực tiễn.
2.2.2. Mục tiêu cụ thể
Mục tiêu	Nội dung
PO1:	Đat kiến thức, kỹ năng, thái độ trình độ đại học về Ngôn ngữ Anh với mức năng lực ngôn ngữ tương đương bậc 5/6 (Khung năng lực ngoại ngữ dùng cho Việt Nam)
PO2:	Có kiến thức về chuyên sâu về dịch thuật cũng nhưng kiến thức chung về công nghệ số, AI, về kinh tế, văn hóa, xã hội… phục vụ đắc lực và hiệu quả cho công việc biên - phiên dịch
PO3:	Có khả năng tham gia các hoạt động biên – phiên dịch tiếng Anh tại các đơn vị tuyển dụng trong và ngoài nước
PO4:	Có khả năng tự học, tự nghiên cứu để nâng cao trình độ chuyên môn, nghiệp vụ trong hoạt động nghề nghiệp
2.2. Chuẩn đầu ra
CĐR	Nội dung
PLO1:	Vận dụng được các kiến thức về khoa học chính trị, pháp luật, quốc phòng, an ninh, thể chất vào thực tiễn
PLO2:	Vận dụng kiến thức Tiếng Anh, kiến thức văn hóa xã hội và kĩ năng ngôn ngữ tiếng để giao tiếp và thực hiện các hoạt động biên-phiên dịch
PLO3:	Tổ chức thực hiện được các hoạt động biên – phiên dịch Anh – Việt và Việt – Anh đồng thời đánh giá được chất lượng các sản phẩm biên – phiên dịch của bản thân và đồng nghiệp
PLO4:	Có các kỹ năng sử dụng công nghệ, nhất là các công nghệ số, AI, kỹ năng mềm cần thiết theo đặc thù ngành biên phiên dịch cũng như những kỹ năng làm việc trong môi trường đa văn hóa
PLO5:	Có niềm tin, lý tưởng đúng đắn về nghề nghiệp bản thân, thực hiện đứng quy tắc đạo đức nghề nghiệp và trách nhiệm xã hội
PLO6:	Lập kế hoạch sử dụng, điều phối, quản lý các nguồn lực, đánh giá hiệu quả, chất lượng các hoạt động học tập và nghề nghiệp
PLO7:	Có kỹ năng học tập suốt đời, thực hiện nghiên cứu khoa học và  có tinh thần khởi nghiệp
	PLOs và các PIs
PLOs	PIs
PLO 1
Vận dụng được các kiến thức về khoa học chính trị, pháp luật, quốc phòng, an ninh, thể chất vào trong thực tiễn	PI1.1. Vận dụng được những kiến thức cơ bản về những nguyên lý của Chủ nghĩa Mác–Lênin, Đường lối cách mạng của Đảng Cộng sản Việt Nam, Tư tưởng Hồ Chí Minh vào thực tiễn
	PI1.2. Vận dụng được những hiểu biết cơ bản về pháp luật vào đời sống và hoạt động nghề nghiệp
	PI1.3. Vận dụng được những kiến thức cơ bản về thể chất, quốc phòng, an ninh vào thực tiễn
PLO 2
Vận dụng kiến thức Tiếng Anh, kiến thức văn hóa xã hội và kĩ năng ngôn ngữ tiếng để giao tiếp và thực hiện các hoạt động biên-phiên dịch	PI2.1. Sử dụng thành thạo tiếng Anh trình độ tương đương bậc 5/6 theo khung năng lực ngoại ngữ 6 bậc dùng cho Việt Nam trong giao tiếp và hoạt động nghề nghiệp gắn với chuyên ngành biên-phiên dịch
	P     I2.2. Vận dụng kiến thức ngôn ngữ học để phân tích, so sánh các hiện tượng ngôn ngữ, giải thích sự tương đồng và khác biệt giữa các ngôn ngữ (Anh-Việt)
	PI2.3. Vận dụng kiến thức xã hội, văn hóa các quốc gia, đặc biệt là các quốc gia sử dụng tiếng Anh để đảm bảo chất lượng của các sản phẩm dịch thuật
PLO 3
Tổ chức thực hiện được các hoạt động biên – phiên dịch Anh – Việt và Việt – Anh đồng thời đánh giá được chất lượng các sản phẩm biên – phiên dịch của bản thân và đồng nghiệp	PI3.1. Lập kế hoạch để thực hiện các nhiệm vụ biên – phiên dịch (Anh – Việt và Việt – Anh) trong tình huống, nhiệm vụ cụ thể.
	PI3.2. Vận dụng được các kiến thức về phương pháp, dạng thức, thủ thuật, trình tự,… để tổ chức của hoạt động biên – phiên dịch (các dạng văn bản/diễn ngôn khác nhau) trong hoạt động nghề nghiệp
	PI3.3. Đánh giá được chất lượng các sản phẩm (thông qua các bản dịch viết, diễn ngôn nói) biên – phiên dịch Anh – Việt và Việt – Anh đối với những nhiệm vụ cụ thể.
	PI3.4. Tổ chức các hoạt động tự kiểm tra, giám sát các hoạt động dịch thuật của bản thân và nhóm gắn với từng giai đoạn, thời điểm cụ thể
PLO 4
Có các kỹ năng sử dụng công nghệ, nhất là công nghệ số, AI, kỹ năng mềm cần thiết theo đặc thù ngành biên phiên dịch cũng như những kỹ năng làm việc trong môi trường đa văn hóa	PI4.1. Sử dụng được các thiết bị, công cụ, công nghệ số, AI hỗ trợ cho các hoạt động dịch thuật, hoạt động nghề nghiệp
	PI4.2. Thực hiện thành thạo các thao tác, kỹ năng hoạt động tổ, nhóm; biết diễn đạt, thuyết trình; thành thạo kỹ năng thương lượng, đàm phán
	PI4.3. Tạo lập các mối quan hệ với đồng nghiệp, khách hàng và các bên liên quan trong hoạt động nghiệp vụ, chuyên môn
	PI4.4. Có kỹ năng làm việc độc lập hoặc làm việc theo nhóm trong điều kiện làm việc thay đổi
PLO 5
Có niềm tin, lý tưởng đúng đắn về nghề nghiệp bản thân, thực hiện đứng quy tắc đạo đức nghề nghiệp và trách nhiệm xã hội	PI5.1. Có niềm tin và lý tưởng đúng đắn về nghề nghiệp cho bản thân; bảo vệ được quan điểm cá nhân
	PI5.2. Tuân thủ các chuẩn mực, hành vi đạo đức nghề nghiệp, đạo đức xã hội trong hoạt động chuyên môn, nghiệp vụ 
	PI5.3. Đánh giá chất lượng công việc, từ đó có những điều chỉnh phù hợp, không ngừng cải tiến hiệu quả công việc
PLO 6
Lập kế hoạch sử dụng, điều phối, quản lý các nguồn lực, đánh giá hiệu quả, chất lượng các hoạt động học tập và nghề nghiệp	PI6.1. Lập kế hoạch, điều phối, quản lý các nguồn lực trong công việc
	PI6.2. Nhận xét và đưa ra các giải pháp cải thiện chất lượng các hoạt động nghề nghiệp
	PI6.3. Có trách nhiệm cá nhân và trách nhiệm đối với nhóm về hiệu quả và chất lượng công việc
PLO 7
Có kỹ năng học tập suốt đời, thực hiện nghiên cứu khoa học và có tinh thần khởi nghiệp	PI7.1 Có kỹ năng học tập suốt đời, phát triển chuyên môn trong và sau thời gian học đại học
	PI7.2 Thực hiện nghiên cứu khoa học liên quan chuyên ngành được đào tạo
	PI7.3 Đề xuất được ý tưởng khởi nghiệp . 1.4.1.	Cơ hội việc làm
	Sinh viên tốt nghiệp CTĐT cử nhân ngành Ngôn ngữ Anh có thể làm các công việc như: 
	a. chuyên viên biên phiên dịch ở các phòng/sở ngoại vụ, ở các đài phát thanh, truyền hình, các văn phòng công ty sản xuất, kinh doanh, phân phối dịch vụ có yếu tố nước ngoài trong và ngoài nước; 
	b. chuyên viên biên phiên dịch ở các phòng quan hệ quốc tế ở các trường cao đẳng, đại học, viện nghiên cứu trung ương/địa phương, các tổ chức xã hội quốc gia, quốc tế;   
	c. hướng dẫn viên du lịch, chuyên viên kinh doanh sản phẩm du lịch, nhà hàng, khách sạn trong và ngoài nước; 
d. giáo viên tiếng Anh tại các trung tâm ngoại ngữ, các trường phổ thông, cao đẳng, đại học, trung tâm phát triển văn hóa, giới thiệu việc làm.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</si>
</sst>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3"/>
      <name val="Times New Roman"/>
      <family val="1"/>
    </font>
    <font>
      <sz val="12"/>
      <name val="Times New Roman"/>
      <family val="1"/>
    </font>
    <font>
      <b/>
      <sz val="12"/>
      <name val="Times New Roman"/>
      <family val="1"/>
    </font>
    <font>
      <b/>
      <sz val="13"/>
      <name val="Times New Roman"/>
      <family val="1"/>
    </font>
    <font>
      <b/>
      <sz val="16"/>
      <name val="Times New Roman"/>
      <family val="1"/>
    </font>
    <font>
      <i/>
      <sz val="12"/>
      <name val="Times New Roman"/>
      <family val="1"/>
    </font>
    <font>
      <b/>
      <sz val="11"/>
      <name val="Times New Roman"/>
      <family val="1"/>
    </font>
    <font>
      <sz val="11"/>
      <name val="Times New Roman"/>
      <family val="1"/>
    </font>
    <font>
      <sz val="8"/>
      <name val="Aptos Narrow"/>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0">
    <xf numFmtId="0" fontId="0" fillId="0" borderId="0" xfId="0"/>
    <xf numFmtId="0" fontId="0" fillId="0" borderId="1" xfId="0" applyBorder="1" applyAlignment="1">
      <alignment vertical="top"/>
    </xf>
    <xf numFmtId="0" fontId="0" fillId="0" borderId="1" xfId="0" applyBorder="1" applyAlignment="1">
      <alignment wrapText="1"/>
    </xf>
    <xf numFmtId="0" fontId="0" fillId="0" borderId="1" xfId="0" applyBorder="1"/>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xf>
    <xf numFmtId="0" fontId="8" fillId="0" borderId="1" xfId="0" applyFont="1" applyBorder="1" applyAlignment="1">
      <alignment horizontal="left" vertical="center" shrinkToFit="1"/>
    </xf>
    <xf numFmtId="0" fontId="1" fillId="0" borderId="1" xfId="0" applyFont="1" applyBorder="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0" fontId="3" fillId="0" borderId="1" xfId="0" applyFont="1" applyBorder="1" applyAlignment="1">
      <alignment horizontal="left" vertical="center"/>
    </xf>
    <xf numFmtId="0" fontId="4"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1" xfId="0" applyFont="1" applyBorder="1" applyAlignment="1">
      <alignment horizontal="center"/>
    </xf>
    <xf numFmtId="0" fontId="2" fillId="0" borderId="1" xfId="0" applyFont="1" applyBorder="1"/>
    <xf numFmtId="1" fontId="4" fillId="0" borderId="1" xfId="0" applyNumberFormat="1" applyFont="1" applyBorder="1" applyAlignment="1">
      <alignment horizontal="left"/>
    </xf>
    <xf numFmtId="0" fontId="2" fillId="0" borderId="1" xfId="0" applyFont="1" applyBorder="1" applyAlignment="1">
      <alignment horizontal="left"/>
    </xf>
    <xf numFmtId="1" fontId="4" fillId="0" borderId="1" xfId="0" applyNumberFormat="1" applyFont="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horizontal="center" vertical="center"/>
    </xf>
    <xf numFmtId="0" fontId="0" fillId="0" borderId="1" xfId="0" applyBorder="1" applyAlignment="1">
      <alignment horizontal="left" wrapText="1"/>
    </xf>
    <xf numFmtId="0" fontId="0" fillId="0" borderId="0" xfId="0" applyAlignment="1">
      <alignment horizontal="center"/>
    </xf>
    <xf numFmtId="0" fontId="0" fillId="0" borderId="2" xfId="0" applyBorder="1" applyAlignment="1">
      <alignment horizontal="center" vertical="top"/>
    </xf>
    <xf numFmtId="0" fontId="0" fillId="0" borderId="3" xfId="0" applyBorder="1" applyAlignment="1">
      <alignment horizontal="center" vertical="top"/>
    </xf>
    <xf numFmtId="0" fontId="0" fillId="0" borderId="4" xfId="0" applyBorder="1" applyAlignment="1">
      <alignment horizontal="center" vertical="top"/>
    </xf>
    <xf numFmtId="0" fontId="8" fillId="0" borderId="1" xfId="0" applyFont="1" applyBorder="1" applyAlignment="1">
      <alignment horizontal="center" vertical="center"/>
    </xf>
    <xf numFmtId="0" fontId="7" fillId="0" borderId="1" xfId="0" applyFont="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horizontal="right" wrapText="1"/>
    </xf>
    <xf numFmtId="0" fontId="4" fillId="0" borderId="1" xfId="0" applyFont="1" applyBorder="1" applyAlignment="1">
      <alignment horizontal="right"/>
    </xf>
    <xf numFmtId="0" fontId="4" fillId="0" borderId="1" xfId="0" applyFont="1" applyBorder="1" applyAlignment="1">
      <alignment horizontal="right" vertical="center"/>
    </xf>
    <xf numFmtId="0" fontId="6" fillId="0" borderId="1" xfId="0" applyFont="1" applyBorder="1" applyAlignment="1">
      <alignment horizontal="center" wrapText="1"/>
    </xf>
    <xf numFmtId="0" fontId="0" fillId="0" borderId="1" xfId="0"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xdr:col>
      <xdr:colOff>317687</xdr:colOff>
      <xdr:row>4</xdr:row>
      <xdr:rowOff>43143</xdr:rowOff>
    </xdr:from>
    <xdr:to>
      <xdr:col>3</xdr:col>
      <xdr:colOff>765362</xdr:colOff>
      <xdr:row>4</xdr:row>
      <xdr:rowOff>43143</xdr:rowOff>
    </xdr:to>
    <xdr:cxnSp macro="">
      <xdr:nvCxnSpPr>
        <xdr:cNvPr id="2" name="Straight Connector 1">
          <a:extLst>
            <a:ext uri="{FF2B5EF4-FFF2-40B4-BE49-F238E27FC236}">
              <a16:creationId xmlns:a16="http://schemas.microsoft.com/office/drawing/2014/main" id="{BB6B0CF9-9F25-4DD6-8592-58F6CFD3876E}"/>
            </a:ext>
          </a:extLst>
        </xdr:cNvPr>
        <xdr:cNvCxnSpPr/>
      </xdr:nvCxnSpPr>
      <xdr:spPr>
        <a:xfrm>
          <a:off x="317687" y="462243"/>
          <a:ext cx="1476375"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123825</xdr:colOff>
      <xdr:row>4</xdr:row>
      <xdr:rowOff>38100</xdr:rowOff>
    </xdr:from>
    <xdr:to>
      <xdr:col>9</xdr:col>
      <xdr:colOff>95250</xdr:colOff>
      <xdr:row>4</xdr:row>
      <xdr:rowOff>38100</xdr:rowOff>
    </xdr:to>
    <xdr:cxnSp macro="">
      <xdr:nvCxnSpPr>
        <xdr:cNvPr id="3" name="Đường nối Thẳng 2">
          <a:extLst>
            <a:ext uri="{FF2B5EF4-FFF2-40B4-BE49-F238E27FC236}">
              <a16:creationId xmlns:a16="http://schemas.microsoft.com/office/drawing/2014/main" id="{33AF6070-9C43-4984-B7AB-10D2BEB8C2AD}"/>
            </a:ext>
          </a:extLst>
        </xdr:cNvPr>
        <xdr:cNvCxnSpPr/>
      </xdr:nvCxnSpPr>
      <xdr:spPr>
        <a:xfrm>
          <a:off x="4302125" y="457200"/>
          <a:ext cx="13874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1943100</xdr:colOff>
      <xdr:row>9</xdr:row>
      <xdr:rowOff>47625</xdr:rowOff>
    </xdr:from>
    <xdr:to>
      <xdr:col>5</xdr:col>
      <xdr:colOff>428625</xdr:colOff>
      <xdr:row>9</xdr:row>
      <xdr:rowOff>47625</xdr:rowOff>
    </xdr:to>
    <xdr:cxnSp macro="">
      <xdr:nvCxnSpPr>
        <xdr:cNvPr id="4" name="Đường nối Thẳng 3">
          <a:extLst>
            <a:ext uri="{FF2B5EF4-FFF2-40B4-BE49-F238E27FC236}">
              <a16:creationId xmlns:a16="http://schemas.microsoft.com/office/drawing/2014/main" id="{A11CCC7C-4052-44EB-93A4-0A34940BDDDF}"/>
            </a:ext>
          </a:extLst>
        </xdr:cNvPr>
        <xdr:cNvCxnSpPr/>
      </xdr:nvCxnSpPr>
      <xdr:spPr>
        <a:xfrm>
          <a:off x="2971800" y="2098675"/>
          <a:ext cx="12033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68B3C-B748-4D19-B2AF-350A326AED83}">
  <dimension ref="A1:B6"/>
  <sheetViews>
    <sheetView topLeftCell="A6" zoomScale="71" zoomScaleNormal="71" workbookViewId="0">
      <selection activeCell="B7" sqref="B7"/>
    </sheetView>
  </sheetViews>
  <sheetFormatPr defaultRowHeight="14.5" x14ac:dyDescent="0.35"/>
  <cols>
    <col min="1" max="1" width="31.1796875" customWidth="1"/>
    <col min="2" max="2" width="88.81640625" customWidth="1"/>
  </cols>
  <sheetData>
    <row r="1" spans="1:2" x14ac:dyDescent="0.35">
      <c r="B1" t="s">
        <v>0</v>
      </c>
    </row>
    <row r="2" spans="1:2" ht="130.5" x14ac:dyDescent="0.35">
      <c r="A2" s="1" t="s">
        <v>2</v>
      </c>
      <c r="B2" s="2" t="s">
        <v>1</v>
      </c>
    </row>
    <row r="3" spans="1:2" ht="217.5" x14ac:dyDescent="0.35">
      <c r="A3" s="1" t="s">
        <v>4</v>
      </c>
      <c r="B3" s="2" t="s">
        <v>3</v>
      </c>
    </row>
    <row r="4" spans="1:2" ht="348" x14ac:dyDescent="0.35">
      <c r="A4" s="1" t="s">
        <v>6</v>
      </c>
      <c r="B4" s="2" t="s">
        <v>5</v>
      </c>
    </row>
    <row r="5" spans="1:2" ht="232" x14ac:dyDescent="0.35">
      <c r="A5" s="1" t="s">
        <v>8</v>
      </c>
      <c r="B5" s="2" t="s">
        <v>7</v>
      </c>
    </row>
    <row r="6" spans="1:2" ht="409.5" x14ac:dyDescent="0.35">
      <c r="A6" s="1" t="s">
        <v>9</v>
      </c>
      <c r="B6" s="2" t="s">
        <v>10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4CDA5-8797-4415-9AC2-817BEB26AFF6}">
  <dimension ref="A1"/>
  <sheetViews>
    <sheetView workbookViewId="0">
      <selection activeCell="I16" sqref="I16"/>
    </sheetView>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C0477-66C7-41AB-A258-D4D4C42097DA}">
  <dimension ref="A1:K103"/>
  <sheetViews>
    <sheetView tabSelected="1" topLeftCell="A2" zoomScale="54" zoomScaleNormal="54" workbookViewId="0">
      <selection activeCell="M2" sqref="M2"/>
    </sheetView>
  </sheetViews>
  <sheetFormatPr defaultRowHeight="14.5" x14ac:dyDescent="0.35"/>
  <cols>
    <col min="1" max="1" width="27.1796875" customWidth="1"/>
    <col min="2" max="2" width="8.81640625" customWidth="1"/>
    <col min="3" max="3" width="12.453125" customWidth="1"/>
    <col min="4" max="4" width="36" customWidth="1"/>
    <col min="5" max="5" width="8.54296875" customWidth="1"/>
    <col min="6" max="6" width="7.81640625" customWidth="1"/>
  </cols>
  <sheetData>
    <row r="1" spans="1:11" x14ac:dyDescent="0.35">
      <c r="B1" s="25" t="s">
        <v>11</v>
      </c>
      <c r="C1" s="25"/>
      <c r="D1" s="25"/>
      <c r="E1" s="25"/>
      <c r="F1" s="25"/>
      <c r="G1" s="25"/>
      <c r="H1" s="25"/>
      <c r="I1" s="25"/>
      <c r="J1" s="25"/>
      <c r="K1" s="25"/>
    </row>
    <row r="2" spans="1:11" ht="409.5" customHeight="1" x14ac:dyDescent="0.35">
      <c r="A2" s="1" t="s">
        <v>14</v>
      </c>
      <c r="B2" s="24" t="s">
        <v>267</v>
      </c>
      <c r="C2" s="24"/>
      <c r="D2" s="24"/>
      <c r="E2" s="24"/>
      <c r="F2" s="24"/>
      <c r="G2" s="24"/>
      <c r="H2" s="24"/>
      <c r="I2" s="24"/>
      <c r="J2" s="24"/>
      <c r="K2" s="24"/>
    </row>
    <row r="3" spans="1:11" ht="16.5" x14ac:dyDescent="0.35">
      <c r="A3" s="26" t="s">
        <v>15</v>
      </c>
      <c r="B3" s="11" t="s">
        <v>266</v>
      </c>
      <c r="C3" s="12"/>
      <c r="D3" s="13"/>
      <c r="E3" s="32" t="s">
        <v>16</v>
      </c>
      <c r="F3" s="32"/>
      <c r="G3" s="32"/>
      <c r="H3" s="32"/>
      <c r="I3" s="32"/>
      <c r="J3" s="32"/>
      <c r="K3" s="32"/>
    </row>
    <row r="4" spans="1:11" ht="16.5" x14ac:dyDescent="0.35">
      <c r="A4" s="27"/>
      <c r="B4" s="14" t="s">
        <v>17</v>
      </c>
      <c r="C4" s="12"/>
      <c r="D4" s="13"/>
      <c r="E4" s="33" t="s">
        <v>18</v>
      </c>
      <c r="F4" s="33"/>
      <c r="G4" s="33"/>
      <c r="H4" s="33"/>
      <c r="I4" s="33"/>
      <c r="J4" s="33"/>
      <c r="K4" s="33"/>
    </row>
    <row r="5" spans="1:11" ht="15.5" x14ac:dyDescent="0.35">
      <c r="A5" s="27"/>
      <c r="B5" s="12"/>
      <c r="C5" s="12"/>
      <c r="D5" s="13"/>
      <c r="E5" s="16"/>
      <c r="F5" s="16"/>
      <c r="G5" s="12"/>
      <c r="H5" s="12"/>
      <c r="I5" s="12"/>
      <c r="J5" s="12"/>
      <c r="K5" s="17"/>
    </row>
    <row r="6" spans="1:11" ht="20" x14ac:dyDescent="0.35">
      <c r="A6" s="27"/>
      <c r="B6" s="34" t="s">
        <v>19</v>
      </c>
      <c r="C6" s="34"/>
      <c r="D6" s="34"/>
      <c r="E6" s="34"/>
      <c r="F6" s="34"/>
      <c r="G6" s="34"/>
      <c r="H6" s="34"/>
      <c r="I6" s="34"/>
      <c r="J6" s="34"/>
      <c r="K6" s="34"/>
    </row>
    <row r="7" spans="1:11" ht="16.5" x14ac:dyDescent="0.35">
      <c r="A7" s="27"/>
      <c r="B7" s="35" t="s">
        <v>20</v>
      </c>
      <c r="C7" s="36"/>
      <c r="D7" s="36"/>
      <c r="E7" s="17"/>
      <c r="F7" s="18"/>
      <c r="G7" s="19" t="s">
        <v>21</v>
      </c>
      <c r="H7" s="15"/>
      <c r="I7" s="15"/>
      <c r="J7" s="17"/>
      <c r="K7" s="17"/>
    </row>
    <row r="8" spans="1:11" ht="16.5" x14ac:dyDescent="0.35">
      <c r="A8" s="27"/>
      <c r="B8" s="37" t="s">
        <v>22</v>
      </c>
      <c r="C8" s="37"/>
      <c r="D8" s="37"/>
      <c r="E8" s="20"/>
      <c r="F8" s="18"/>
      <c r="G8" s="21" t="s">
        <v>23</v>
      </c>
      <c r="H8" s="15"/>
      <c r="I8" s="15"/>
      <c r="J8" s="17"/>
      <c r="K8" s="17"/>
    </row>
    <row r="9" spans="1:11" ht="15.5" x14ac:dyDescent="0.35">
      <c r="A9" s="27"/>
      <c r="B9" s="38" t="s">
        <v>24</v>
      </c>
      <c r="C9" s="38"/>
      <c r="D9" s="38"/>
      <c r="E9" s="38"/>
      <c r="F9" s="38"/>
      <c r="G9" s="38"/>
      <c r="H9" s="38"/>
      <c r="I9" s="38"/>
      <c r="J9" s="38"/>
      <c r="K9" s="38"/>
    </row>
    <row r="10" spans="1:11" ht="15.5" x14ac:dyDescent="0.35">
      <c r="A10" s="27"/>
      <c r="B10" s="12"/>
      <c r="C10" s="12"/>
      <c r="D10" s="13"/>
      <c r="E10" s="16"/>
      <c r="F10" s="12"/>
      <c r="G10" s="12"/>
      <c r="H10" s="12"/>
      <c r="I10" s="12"/>
      <c r="J10" s="17"/>
      <c r="K10" s="17"/>
    </row>
    <row r="11" spans="1:11" x14ac:dyDescent="0.35">
      <c r="A11" s="27"/>
      <c r="B11" s="23" t="s">
        <v>25</v>
      </c>
      <c r="C11" s="23" t="s">
        <v>26</v>
      </c>
      <c r="D11" s="23" t="s">
        <v>27</v>
      </c>
      <c r="E11" s="31" t="s">
        <v>28</v>
      </c>
      <c r="F11" s="31" t="s">
        <v>29</v>
      </c>
      <c r="G11" s="31"/>
      <c r="H11" s="23" t="s">
        <v>30</v>
      </c>
      <c r="I11" s="23"/>
      <c r="J11" s="23"/>
      <c r="K11" s="31" t="s">
        <v>31</v>
      </c>
    </row>
    <row r="12" spans="1:11" x14ac:dyDescent="0.35">
      <c r="A12" s="27"/>
      <c r="B12" s="23"/>
      <c r="C12" s="23"/>
      <c r="D12" s="23"/>
      <c r="E12" s="31"/>
      <c r="F12" s="5" t="s">
        <v>32</v>
      </c>
      <c r="G12" s="5" t="s">
        <v>33</v>
      </c>
      <c r="H12" s="4" t="s">
        <v>34</v>
      </c>
      <c r="I12" s="4" t="s">
        <v>35</v>
      </c>
      <c r="J12" s="4" t="s">
        <v>36</v>
      </c>
      <c r="K12" s="31"/>
    </row>
    <row r="13" spans="1:11" x14ac:dyDescent="0.35">
      <c r="A13" s="27"/>
      <c r="B13" s="22" t="s">
        <v>37</v>
      </c>
      <c r="C13" s="22"/>
      <c r="D13" s="22"/>
      <c r="E13" s="4">
        <f>SUM(E14,E19,E35)</f>
        <v>28</v>
      </c>
      <c r="F13" s="4"/>
      <c r="G13" s="4"/>
      <c r="H13" s="29"/>
      <c r="I13" s="29"/>
      <c r="J13" s="29"/>
      <c r="K13" s="29"/>
    </row>
    <row r="14" spans="1:11" x14ac:dyDescent="0.35">
      <c r="A14" s="27"/>
      <c r="B14" s="22" t="s">
        <v>38</v>
      </c>
      <c r="C14" s="22"/>
      <c r="D14" s="22"/>
      <c r="E14" s="4">
        <v>11</v>
      </c>
      <c r="F14" s="4"/>
      <c r="G14" s="4"/>
      <c r="H14" s="29"/>
      <c r="I14" s="29"/>
      <c r="J14" s="29"/>
      <c r="K14" s="29"/>
    </row>
    <row r="15" spans="1:11" ht="28" x14ac:dyDescent="0.35">
      <c r="A15" s="27"/>
      <c r="B15" s="6">
        <v>1</v>
      </c>
      <c r="C15" s="6" t="s">
        <v>39</v>
      </c>
      <c r="D15" s="7" t="s">
        <v>40</v>
      </c>
      <c r="E15" s="8">
        <v>3</v>
      </c>
      <c r="F15" s="6">
        <v>45</v>
      </c>
      <c r="G15" s="6">
        <v>0</v>
      </c>
      <c r="H15" s="6"/>
      <c r="I15" s="6"/>
      <c r="J15" s="6"/>
      <c r="K15" s="6">
        <v>1</v>
      </c>
    </row>
    <row r="16" spans="1:11" x14ac:dyDescent="0.35">
      <c r="A16" s="27"/>
      <c r="B16" s="6">
        <v>2</v>
      </c>
      <c r="C16" s="6" t="s">
        <v>41</v>
      </c>
      <c r="D16" s="7" t="s">
        <v>42</v>
      </c>
      <c r="E16" s="8">
        <v>2</v>
      </c>
      <c r="F16" s="6">
        <v>30</v>
      </c>
      <c r="G16" s="6">
        <v>0</v>
      </c>
      <c r="H16" s="6"/>
      <c r="I16" s="6" t="s">
        <v>39</v>
      </c>
      <c r="J16" s="6"/>
      <c r="K16" s="6">
        <v>2</v>
      </c>
    </row>
    <row r="17" spans="1:11" x14ac:dyDescent="0.35">
      <c r="A17" s="27"/>
      <c r="B17" s="6">
        <v>3</v>
      </c>
      <c r="C17" s="6" t="s">
        <v>43</v>
      </c>
      <c r="D17" s="7" t="s">
        <v>44</v>
      </c>
      <c r="E17" s="8">
        <v>2</v>
      </c>
      <c r="F17" s="6">
        <v>14</v>
      </c>
      <c r="G17" s="6">
        <v>16</v>
      </c>
      <c r="H17" s="6"/>
      <c r="I17" s="6" t="s">
        <v>39</v>
      </c>
      <c r="J17" s="6"/>
      <c r="K17" s="6">
        <v>3</v>
      </c>
    </row>
    <row r="18" spans="1:11" x14ac:dyDescent="0.35">
      <c r="A18" s="27"/>
      <c r="B18" s="6">
        <v>4</v>
      </c>
      <c r="C18" s="6" t="s">
        <v>45</v>
      </c>
      <c r="D18" s="7" t="s">
        <v>46</v>
      </c>
      <c r="E18" s="8">
        <v>4</v>
      </c>
      <c r="F18" s="6">
        <v>4</v>
      </c>
      <c r="G18" s="6">
        <v>56</v>
      </c>
      <c r="H18" s="6"/>
      <c r="I18" s="6" t="s">
        <v>39</v>
      </c>
      <c r="J18" s="6"/>
      <c r="K18" s="6">
        <v>4</v>
      </c>
    </row>
    <row r="19" spans="1:11" x14ac:dyDescent="0.35">
      <c r="A19" s="27"/>
      <c r="B19" s="22" t="s">
        <v>47</v>
      </c>
      <c r="C19" s="22"/>
      <c r="D19" s="22"/>
      <c r="E19" s="4">
        <v>3</v>
      </c>
      <c r="F19" s="4"/>
      <c r="G19" s="4"/>
      <c r="H19" s="29"/>
      <c r="I19" s="29"/>
      <c r="J19" s="29"/>
      <c r="K19" s="29"/>
    </row>
    <row r="20" spans="1:11" x14ac:dyDescent="0.35">
      <c r="A20" s="27"/>
      <c r="B20" s="22" t="s">
        <v>48</v>
      </c>
      <c r="C20" s="22"/>
      <c r="D20" s="22"/>
      <c r="E20" s="4">
        <v>2</v>
      </c>
      <c r="F20" s="4"/>
      <c r="G20" s="4"/>
      <c r="H20" s="29"/>
      <c r="I20" s="29"/>
      <c r="J20" s="29"/>
      <c r="K20" s="29"/>
    </row>
    <row r="21" spans="1:11" x14ac:dyDescent="0.35">
      <c r="A21" s="27"/>
      <c r="B21" s="6">
        <v>1</v>
      </c>
      <c r="C21" s="6" t="s">
        <v>49</v>
      </c>
      <c r="D21" s="9" t="s">
        <v>50</v>
      </c>
      <c r="E21" s="6">
        <v>1</v>
      </c>
      <c r="F21" s="6">
        <v>0</v>
      </c>
      <c r="G21" s="6">
        <v>30</v>
      </c>
      <c r="H21" s="6"/>
      <c r="I21" s="6"/>
      <c r="J21" s="6"/>
      <c r="K21" s="6">
        <v>1</v>
      </c>
    </row>
    <row r="22" spans="1:11" x14ac:dyDescent="0.35">
      <c r="A22" s="27"/>
      <c r="B22" s="6">
        <v>2</v>
      </c>
      <c r="C22" s="6" t="s">
        <v>51</v>
      </c>
      <c r="D22" s="7" t="s">
        <v>52</v>
      </c>
      <c r="E22" s="8">
        <v>1</v>
      </c>
      <c r="F22" s="8">
        <v>0</v>
      </c>
      <c r="G22" s="8">
        <v>30</v>
      </c>
      <c r="H22" s="6"/>
      <c r="I22" s="6" t="s">
        <v>49</v>
      </c>
      <c r="J22" s="6"/>
      <c r="K22" s="6">
        <v>2</v>
      </c>
    </row>
    <row r="23" spans="1:11" x14ac:dyDescent="0.35">
      <c r="A23" s="27"/>
      <c r="B23" s="22" t="s">
        <v>53</v>
      </c>
      <c r="C23" s="22"/>
      <c r="D23" s="22"/>
      <c r="E23" s="4">
        <v>1</v>
      </c>
      <c r="F23" s="4"/>
      <c r="G23" s="4"/>
      <c r="H23" s="29"/>
      <c r="I23" s="29"/>
      <c r="J23" s="29"/>
      <c r="K23" s="29"/>
    </row>
    <row r="24" spans="1:11" x14ac:dyDescent="0.35">
      <c r="A24" s="27"/>
      <c r="B24" s="6">
        <v>1</v>
      </c>
      <c r="C24" s="6" t="s">
        <v>54</v>
      </c>
      <c r="D24" s="9" t="s">
        <v>55</v>
      </c>
      <c r="E24" s="6">
        <v>1</v>
      </c>
      <c r="F24" s="6">
        <v>0</v>
      </c>
      <c r="G24" s="6">
        <v>30</v>
      </c>
      <c r="H24" s="6"/>
      <c r="I24" s="6" t="s">
        <v>49</v>
      </c>
      <c r="J24" s="6"/>
      <c r="K24" s="6">
        <v>3</v>
      </c>
    </row>
    <row r="25" spans="1:11" x14ac:dyDescent="0.35">
      <c r="A25" s="27"/>
      <c r="B25" s="6">
        <v>2</v>
      </c>
      <c r="C25" s="6" t="s">
        <v>56</v>
      </c>
      <c r="D25" s="9" t="s">
        <v>57</v>
      </c>
      <c r="E25" s="6">
        <v>1</v>
      </c>
      <c r="F25" s="6">
        <v>0</v>
      </c>
      <c r="G25" s="6">
        <v>30</v>
      </c>
      <c r="H25" s="6"/>
      <c r="I25" s="6" t="s">
        <v>49</v>
      </c>
      <c r="J25" s="6"/>
      <c r="K25" s="6">
        <v>3</v>
      </c>
    </row>
    <row r="26" spans="1:11" x14ac:dyDescent="0.35">
      <c r="A26" s="27"/>
      <c r="B26" s="6">
        <v>3</v>
      </c>
      <c r="C26" s="6" t="s">
        <v>58</v>
      </c>
      <c r="D26" s="9" t="s">
        <v>59</v>
      </c>
      <c r="E26" s="6">
        <v>1</v>
      </c>
      <c r="F26" s="6">
        <v>0</v>
      </c>
      <c r="G26" s="6">
        <v>30</v>
      </c>
      <c r="H26" s="6"/>
      <c r="I26" s="6" t="s">
        <v>49</v>
      </c>
      <c r="J26" s="6"/>
      <c r="K26" s="6">
        <v>3</v>
      </c>
    </row>
    <row r="27" spans="1:11" x14ac:dyDescent="0.35">
      <c r="A27" s="27"/>
      <c r="B27" s="6">
        <v>4</v>
      </c>
      <c r="C27" s="6" t="s">
        <v>60</v>
      </c>
      <c r="D27" s="9" t="s">
        <v>61</v>
      </c>
      <c r="E27" s="6">
        <v>1</v>
      </c>
      <c r="F27" s="6">
        <v>0</v>
      </c>
      <c r="G27" s="6">
        <v>30</v>
      </c>
      <c r="H27" s="6"/>
      <c r="I27" s="6" t="s">
        <v>49</v>
      </c>
      <c r="J27" s="6"/>
      <c r="K27" s="6">
        <v>3</v>
      </c>
    </row>
    <row r="28" spans="1:11" x14ac:dyDescent="0.35">
      <c r="A28" s="27"/>
      <c r="B28" s="6">
        <v>5</v>
      </c>
      <c r="C28" s="6" t="s">
        <v>62</v>
      </c>
      <c r="D28" s="9" t="s">
        <v>63</v>
      </c>
      <c r="E28" s="6">
        <v>1</v>
      </c>
      <c r="F28" s="6">
        <v>0</v>
      </c>
      <c r="G28" s="6">
        <v>30</v>
      </c>
      <c r="H28" s="6"/>
      <c r="I28" s="6" t="s">
        <v>49</v>
      </c>
      <c r="J28" s="6"/>
      <c r="K28" s="6">
        <v>3</v>
      </c>
    </row>
    <row r="29" spans="1:11" x14ac:dyDescent="0.35">
      <c r="A29" s="27"/>
      <c r="B29" s="6">
        <v>6</v>
      </c>
      <c r="C29" s="6" t="s">
        <v>64</v>
      </c>
      <c r="D29" s="9" t="s">
        <v>65</v>
      </c>
      <c r="E29" s="6">
        <v>1</v>
      </c>
      <c r="F29" s="6">
        <v>0</v>
      </c>
      <c r="G29" s="6">
        <v>30</v>
      </c>
      <c r="H29" s="6"/>
      <c r="I29" s="6" t="s">
        <v>49</v>
      </c>
      <c r="J29" s="6"/>
      <c r="K29" s="6">
        <v>3</v>
      </c>
    </row>
    <row r="30" spans="1:11" x14ac:dyDescent="0.35">
      <c r="A30" s="27"/>
      <c r="B30" s="6">
        <v>7</v>
      </c>
      <c r="C30" s="6" t="s">
        <v>66</v>
      </c>
      <c r="D30" s="9" t="s">
        <v>67</v>
      </c>
      <c r="E30" s="6">
        <v>1</v>
      </c>
      <c r="F30" s="6">
        <v>0</v>
      </c>
      <c r="G30" s="6">
        <v>30</v>
      </c>
      <c r="H30" s="6"/>
      <c r="I30" s="6" t="s">
        <v>49</v>
      </c>
      <c r="J30" s="6"/>
      <c r="K30" s="6">
        <v>3</v>
      </c>
    </row>
    <row r="31" spans="1:11" x14ac:dyDescent="0.35">
      <c r="A31" s="27"/>
      <c r="B31" s="6">
        <v>8</v>
      </c>
      <c r="C31" s="6" t="s">
        <v>68</v>
      </c>
      <c r="D31" s="9" t="s">
        <v>69</v>
      </c>
      <c r="E31" s="6">
        <v>1</v>
      </c>
      <c r="F31" s="6">
        <v>0</v>
      </c>
      <c r="G31" s="6">
        <v>30</v>
      </c>
      <c r="H31" s="6"/>
      <c r="I31" s="6" t="s">
        <v>49</v>
      </c>
      <c r="J31" s="6"/>
      <c r="K31" s="6">
        <v>3</v>
      </c>
    </row>
    <row r="32" spans="1:11" x14ac:dyDescent="0.35">
      <c r="A32" s="27"/>
      <c r="B32" s="6">
        <v>9</v>
      </c>
      <c r="C32" s="6" t="s">
        <v>70</v>
      </c>
      <c r="D32" s="9" t="s">
        <v>71</v>
      </c>
      <c r="E32" s="6">
        <v>1</v>
      </c>
      <c r="F32" s="6">
        <v>0</v>
      </c>
      <c r="G32" s="6">
        <v>30</v>
      </c>
      <c r="H32" s="6"/>
      <c r="I32" s="6" t="s">
        <v>49</v>
      </c>
      <c r="J32" s="6"/>
      <c r="K32" s="6">
        <v>3</v>
      </c>
    </row>
    <row r="33" spans="1:11" x14ac:dyDescent="0.35">
      <c r="A33" s="27"/>
      <c r="B33" s="6">
        <v>10</v>
      </c>
      <c r="C33" s="6" t="s">
        <v>72</v>
      </c>
      <c r="D33" s="9" t="s">
        <v>73</v>
      </c>
      <c r="E33" s="6">
        <v>1</v>
      </c>
      <c r="F33" s="6">
        <v>0</v>
      </c>
      <c r="G33" s="6">
        <v>30</v>
      </c>
      <c r="H33" s="6"/>
      <c r="I33" s="6" t="s">
        <v>49</v>
      </c>
      <c r="J33" s="6"/>
      <c r="K33" s="6">
        <v>3</v>
      </c>
    </row>
    <row r="34" spans="1:11" x14ac:dyDescent="0.35">
      <c r="A34" s="27"/>
      <c r="B34" s="6">
        <v>11</v>
      </c>
      <c r="C34" s="6" t="s">
        <v>74</v>
      </c>
      <c r="D34" s="9" t="s">
        <v>75</v>
      </c>
      <c r="E34" s="6">
        <v>1</v>
      </c>
      <c r="F34" s="6">
        <v>0</v>
      </c>
      <c r="G34" s="6">
        <v>30</v>
      </c>
      <c r="H34" s="6"/>
      <c r="I34" s="6" t="s">
        <v>49</v>
      </c>
      <c r="J34" s="6"/>
      <c r="K34" s="6">
        <v>3</v>
      </c>
    </row>
    <row r="35" spans="1:11" x14ac:dyDescent="0.35">
      <c r="A35" s="27"/>
      <c r="B35" s="22" t="s">
        <v>76</v>
      </c>
      <c r="C35" s="22"/>
      <c r="D35" s="22"/>
      <c r="E35" s="4">
        <v>14</v>
      </c>
      <c r="F35" s="4"/>
      <c r="G35" s="4"/>
      <c r="H35" s="29"/>
      <c r="I35" s="29"/>
      <c r="J35" s="29"/>
      <c r="K35" s="29"/>
    </row>
    <row r="36" spans="1:11" x14ac:dyDescent="0.35">
      <c r="A36" s="27"/>
      <c r="B36" s="6">
        <v>1</v>
      </c>
      <c r="C36" s="6" t="s">
        <v>77</v>
      </c>
      <c r="D36" s="7" t="s">
        <v>78</v>
      </c>
      <c r="E36" s="8">
        <v>1</v>
      </c>
      <c r="F36" s="6">
        <v>15</v>
      </c>
      <c r="G36" s="6">
        <v>0</v>
      </c>
      <c r="H36" s="6"/>
      <c r="I36" s="6"/>
      <c r="J36" s="6"/>
      <c r="K36" s="6">
        <v>1</v>
      </c>
    </row>
    <row r="37" spans="1:11" x14ac:dyDescent="0.35">
      <c r="A37" s="27"/>
      <c r="B37" s="6">
        <v>2</v>
      </c>
      <c r="C37" s="6" t="s">
        <v>79</v>
      </c>
      <c r="D37" s="7" t="s">
        <v>80</v>
      </c>
      <c r="E37" s="8">
        <v>3</v>
      </c>
      <c r="F37" s="6">
        <v>45</v>
      </c>
      <c r="G37" s="6">
        <v>0</v>
      </c>
      <c r="H37" s="6"/>
      <c r="I37" s="6"/>
      <c r="J37" s="6"/>
      <c r="K37" s="6">
        <v>1</v>
      </c>
    </row>
    <row r="38" spans="1:11" x14ac:dyDescent="0.35">
      <c r="A38" s="27"/>
      <c r="B38" s="6">
        <v>3</v>
      </c>
      <c r="C38" s="6" t="s">
        <v>81</v>
      </c>
      <c r="D38" s="7" t="s">
        <v>82</v>
      </c>
      <c r="E38" s="8">
        <v>2</v>
      </c>
      <c r="F38" s="6">
        <v>30</v>
      </c>
      <c r="G38" s="6">
        <v>0</v>
      </c>
      <c r="H38" s="6"/>
      <c r="I38" s="6"/>
      <c r="J38" s="6"/>
      <c r="K38" s="6">
        <v>1</v>
      </c>
    </row>
    <row r="39" spans="1:11" x14ac:dyDescent="0.35">
      <c r="A39" s="27"/>
      <c r="B39" s="6">
        <v>5</v>
      </c>
      <c r="C39" s="6" t="s">
        <v>83</v>
      </c>
      <c r="D39" s="7" t="s">
        <v>84</v>
      </c>
      <c r="E39" s="8">
        <v>2</v>
      </c>
      <c r="F39" s="6">
        <v>30</v>
      </c>
      <c r="G39" s="6">
        <v>0</v>
      </c>
      <c r="H39" s="6"/>
      <c r="I39" s="6" t="s">
        <v>79</v>
      </c>
      <c r="J39" s="6"/>
      <c r="K39" s="6">
        <v>2</v>
      </c>
    </row>
    <row r="40" spans="1:11" x14ac:dyDescent="0.35">
      <c r="A40" s="27"/>
      <c r="B40" s="6">
        <v>6</v>
      </c>
      <c r="C40" s="6" t="s">
        <v>85</v>
      </c>
      <c r="D40" s="7" t="s">
        <v>86</v>
      </c>
      <c r="E40" s="8">
        <v>2</v>
      </c>
      <c r="F40" s="6">
        <v>30</v>
      </c>
      <c r="G40" s="6">
        <v>0</v>
      </c>
      <c r="H40" s="6"/>
      <c r="I40" s="6" t="s">
        <v>83</v>
      </c>
      <c r="J40" s="6"/>
      <c r="K40" s="6">
        <v>3</v>
      </c>
    </row>
    <row r="41" spans="1:11" x14ac:dyDescent="0.35">
      <c r="A41" s="27"/>
      <c r="B41" s="6">
        <v>7</v>
      </c>
      <c r="C41" s="6" t="s">
        <v>87</v>
      </c>
      <c r="D41" s="7" t="s">
        <v>88</v>
      </c>
      <c r="E41" s="8">
        <v>2</v>
      </c>
      <c r="F41" s="6">
        <v>30</v>
      </c>
      <c r="G41" s="6">
        <v>0</v>
      </c>
      <c r="H41" s="6"/>
      <c r="I41" s="6" t="s">
        <v>83</v>
      </c>
      <c r="J41" s="6"/>
      <c r="K41" s="6">
        <v>3</v>
      </c>
    </row>
    <row r="42" spans="1:11" x14ac:dyDescent="0.35">
      <c r="A42" s="27"/>
      <c r="B42" s="6">
        <v>8</v>
      </c>
      <c r="C42" s="6" t="s">
        <v>89</v>
      </c>
      <c r="D42" s="7" t="s">
        <v>90</v>
      </c>
      <c r="E42" s="8">
        <v>2</v>
      </c>
      <c r="F42" s="6">
        <v>30</v>
      </c>
      <c r="G42" s="6">
        <v>0</v>
      </c>
      <c r="H42" s="6"/>
      <c r="I42" s="6" t="s">
        <v>83</v>
      </c>
      <c r="J42" s="6"/>
      <c r="K42" s="6">
        <v>4</v>
      </c>
    </row>
    <row r="43" spans="1:11" x14ac:dyDescent="0.35">
      <c r="A43" s="27"/>
      <c r="B43" s="22" t="s">
        <v>91</v>
      </c>
      <c r="C43" s="22"/>
      <c r="D43" s="22"/>
      <c r="E43" s="4">
        <f>SUM(E44,E52,E63,E89,E92)</f>
        <v>106</v>
      </c>
      <c r="F43" s="4"/>
      <c r="G43" s="4"/>
      <c r="H43" s="29"/>
      <c r="I43" s="29"/>
      <c r="J43" s="29"/>
      <c r="K43" s="29"/>
    </row>
    <row r="44" spans="1:11" x14ac:dyDescent="0.35">
      <c r="A44" s="27"/>
      <c r="B44" s="22" t="s">
        <v>92</v>
      </c>
      <c r="C44" s="22"/>
      <c r="D44" s="22"/>
      <c r="E44" s="4">
        <f>SUM(E45:E51)</f>
        <v>15</v>
      </c>
      <c r="F44" s="4"/>
      <c r="G44" s="4"/>
      <c r="H44" s="29"/>
      <c r="I44" s="29"/>
      <c r="J44" s="29"/>
      <c r="K44" s="29"/>
    </row>
    <row r="45" spans="1:11" x14ac:dyDescent="0.35">
      <c r="A45" s="27"/>
      <c r="B45" s="6">
        <v>1</v>
      </c>
      <c r="C45" s="6" t="s">
        <v>93</v>
      </c>
      <c r="D45" s="7" t="s">
        <v>94</v>
      </c>
      <c r="E45" s="8">
        <v>2</v>
      </c>
      <c r="F45" s="6">
        <v>25</v>
      </c>
      <c r="G45" s="6">
        <v>10</v>
      </c>
      <c r="H45" s="6"/>
      <c r="I45" s="6"/>
      <c r="J45" s="6"/>
      <c r="K45" s="6">
        <v>2</v>
      </c>
    </row>
    <row r="46" spans="1:11" x14ac:dyDescent="0.35">
      <c r="A46" s="27"/>
      <c r="B46" s="6">
        <v>2</v>
      </c>
      <c r="C46" s="6" t="s">
        <v>95</v>
      </c>
      <c r="D46" s="7" t="s">
        <v>96</v>
      </c>
      <c r="E46" s="6">
        <v>2</v>
      </c>
      <c r="F46" s="6">
        <v>30</v>
      </c>
      <c r="G46" s="6">
        <v>0</v>
      </c>
      <c r="H46" s="6"/>
      <c r="I46" s="6"/>
      <c r="J46" s="6"/>
      <c r="K46" s="6">
        <v>2</v>
      </c>
    </row>
    <row r="47" spans="1:11" x14ac:dyDescent="0.35">
      <c r="A47" s="27"/>
      <c r="B47" s="6">
        <v>3</v>
      </c>
      <c r="C47" s="6" t="s">
        <v>97</v>
      </c>
      <c r="D47" s="7" t="s">
        <v>98</v>
      </c>
      <c r="E47" s="6">
        <v>2</v>
      </c>
      <c r="F47" s="6">
        <v>30</v>
      </c>
      <c r="G47" s="6">
        <v>0</v>
      </c>
      <c r="H47" s="6"/>
      <c r="I47" s="6"/>
      <c r="J47" s="6"/>
      <c r="K47" s="6">
        <v>2</v>
      </c>
    </row>
    <row r="48" spans="1:11" x14ac:dyDescent="0.35">
      <c r="A48" s="27"/>
      <c r="B48" s="6">
        <v>4</v>
      </c>
      <c r="C48" s="6" t="s">
        <v>99</v>
      </c>
      <c r="D48" s="7" t="s">
        <v>100</v>
      </c>
      <c r="E48" s="6">
        <v>2</v>
      </c>
      <c r="F48" s="6">
        <v>30</v>
      </c>
      <c r="G48" s="6">
        <v>0</v>
      </c>
      <c r="H48" s="6"/>
      <c r="I48" s="6"/>
      <c r="J48" s="6"/>
      <c r="K48" s="6">
        <v>3</v>
      </c>
    </row>
    <row r="49" spans="1:11" x14ac:dyDescent="0.35">
      <c r="A49" s="27"/>
      <c r="B49" s="6">
        <v>5</v>
      </c>
      <c r="C49" s="6" t="s">
        <v>101</v>
      </c>
      <c r="D49" s="7" t="s">
        <v>102</v>
      </c>
      <c r="E49" s="6">
        <v>2</v>
      </c>
      <c r="F49" s="6">
        <v>30</v>
      </c>
      <c r="G49" s="6">
        <v>0</v>
      </c>
      <c r="H49" s="6"/>
      <c r="I49" s="6"/>
      <c r="J49" s="6"/>
      <c r="K49" s="6">
        <v>5</v>
      </c>
    </row>
    <row r="50" spans="1:11" x14ac:dyDescent="0.35">
      <c r="A50" s="27"/>
      <c r="B50" s="6">
        <v>6</v>
      </c>
      <c r="C50" s="6" t="s">
        <v>103</v>
      </c>
      <c r="D50" s="7" t="s">
        <v>104</v>
      </c>
      <c r="E50" s="6">
        <v>3</v>
      </c>
      <c r="F50" s="6">
        <v>30</v>
      </c>
      <c r="G50" s="6">
        <v>15</v>
      </c>
      <c r="H50" s="6"/>
      <c r="I50" s="6"/>
      <c r="J50" s="6"/>
      <c r="K50" s="6">
        <v>6</v>
      </c>
    </row>
    <row r="51" spans="1:11" x14ac:dyDescent="0.35">
      <c r="A51" s="27"/>
      <c r="B51" s="6">
        <v>7</v>
      </c>
      <c r="C51" s="6" t="s">
        <v>105</v>
      </c>
      <c r="D51" s="7" t="s">
        <v>106</v>
      </c>
      <c r="E51" s="6">
        <v>2</v>
      </c>
      <c r="F51" s="6">
        <v>15</v>
      </c>
      <c r="G51" s="6">
        <v>15</v>
      </c>
      <c r="H51" s="6"/>
      <c r="I51" s="6"/>
      <c r="J51" s="6"/>
      <c r="K51" s="6">
        <v>7</v>
      </c>
    </row>
    <row r="52" spans="1:11" x14ac:dyDescent="0.35">
      <c r="A52" s="27"/>
      <c r="B52" s="22" t="s">
        <v>107</v>
      </c>
      <c r="C52" s="22"/>
      <c r="D52" s="22"/>
      <c r="E52" s="4">
        <v>34</v>
      </c>
      <c r="F52" s="4"/>
      <c r="G52" s="4"/>
      <c r="H52" s="6"/>
      <c r="I52" s="6"/>
      <c r="J52" s="6"/>
      <c r="K52" s="6"/>
    </row>
    <row r="53" spans="1:11" x14ac:dyDescent="0.35">
      <c r="A53" s="27"/>
      <c r="B53" s="6">
        <v>1</v>
      </c>
      <c r="C53" s="6" t="s">
        <v>108</v>
      </c>
      <c r="D53" s="7" t="s">
        <v>109</v>
      </c>
      <c r="E53" s="6">
        <v>4</v>
      </c>
      <c r="F53" s="6">
        <v>30</v>
      </c>
      <c r="G53" s="6">
        <v>30</v>
      </c>
      <c r="H53" s="6"/>
      <c r="I53" s="6"/>
      <c r="J53" s="6"/>
      <c r="K53" s="6">
        <v>1</v>
      </c>
    </row>
    <row r="54" spans="1:11" x14ac:dyDescent="0.35">
      <c r="A54" s="27"/>
      <c r="B54" s="6">
        <v>2</v>
      </c>
      <c r="C54" s="6" t="s">
        <v>110</v>
      </c>
      <c r="D54" s="7" t="s">
        <v>111</v>
      </c>
      <c r="E54" s="6">
        <v>2</v>
      </c>
      <c r="F54" s="6">
        <v>15</v>
      </c>
      <c r="G54" s="6">
        <v>15</v>
      </c>
      <c r="H54" s="6"/>
      <c r="I54" s="6"/>
      <c r="J54" s="6"/>
      <c r="K54" s="6">
        <v>1</v>
      </c>
    </row>
    <row r="55" spans="1:11" x14ac:dyDescent="0.35">
      <c r="A55" s="27"/>
      <c r="B55" s="6">
        <v>3</v>
      </c>
      <c r="C55" s="6" t="s">
        <v>112</v>
      </c>
      <c r="D55" s="7" t="s">
        <v>113</v>
      </c>
      <c r="E55" s="6">
        <v>4</v>
      </c>
      <c r="F55" s="6">
        <v>30</v>
      </c>
      <c r="G55" s="6">
        <v>30</v>
      </c>
      <c r="H55" s="6"/>
      <c r="I55" s="6"/>
      <c r="J55" s="6"/>
      <c r="K55" s="6">
        <v>2</v>
      </c>
    </row>
    <row r="56" spans="1:11" x14ac:dyDescent="0.35">
      <c r="A56" s="27"/>
      <c r="B56" s="6">
        <v>4</v>
      </c>
      <c r="C56" s="6" t="s">
        <v>114</v>
      </c>
      <c r="D56" s="7" t="s">
        <v>115</v>
      </c>
      <c r="E56" s="6">
        <v>3</v>
      </c>
      <c r="F56" s="6">
        <v>30</v>
      </c>
      <c r="G56" s="6">
        <v>15</v>
      </c>
      <c r="H56" s="6"/>
      <c r="I56" s="6"/>
      <c r="J56" s="6"/>
      <c r="K56" s="6">
        <v>1</v>
      </c>
    </row>
    <row r="57" spans="1:11" x14ac:dyDescent="0.35">
      <c r="A57" s="27"/>
      <c r="B57" s="6">
        <v>5</v>
      </c>
      <c r="C57" s="6" t="s">
        <v>116</v>
      </c>
      <c r="D57" s="7" t="s">
        <v>117</v>
      </c>
      <c r="E57" s="6">
        <v>4</v>
      </c>
      <c r="F57" s="6">
        <v>30</v>
      </c>
      <c r="G57" s="6">
        <v>30</v>
      </c>
      <c r="H57" s="6"/>
      <c r="I57" s="6"/>
      <c r="J57" s="6"/>
      <c r="K57" s="6">
        <v>3</v>
      </c>
    </row>
    <row r="58" spans="1:11" x14ac:dyDescent="0.35">
      <c r="A58" s="27"/>
      <c r="B58" s="6">
        <v>6</v>
      </c>
      <c r="C58" s="6" t="s">
        <v>118</v>
      </c>
      <c r="D58" s="7" t="s">
        <v>119</v>
      </c>
      <c r="E58" s="6">
        <v>3</v>
      </c>
      <c r="F58" s="6">
        <v>30</v>
      </c>
      <c r="G58" s="6">
        <v>15</v>
      </c>
      <c r="H58" s="6"/>
      <c r="I58" s="6"/>
      <c r="J58" s="6"/>
      <c r="K58" s="6">
        <v>3</v>
      </c>
    </row>
    <row r="59" spans="1:11" x14ac:dyDescent="0.35">
      <c r="A59" s="27"/>
      <c r="B59" s="6">
        <v>7</v>
      </c>
      <c r="C59" s="6" t="s">
        <v>120</v>
      </c>
      <c r="D59" s="7" t="s">
        <v>121</v>
      </c>
      <c r="E59" s="6">
        <v>4</v>
      </c>
      <c r="F59" s="6">
        <v>30</v>
      </c>
      <c r="G59" s="6">
        <v>30</v>
      </c>
      <c r="H59" s="6"/>
      <c r="I59" s="6"/>
      <c r="J59" s="6"/>
      <c r="K59" s="6">
        <v>4</v>
      </c>
    </row>
    <row r="60" spans="1:11" x14ac:dyDescent="0.35">
      <c r="A60" s="27"/>
      <c r="B60" s="6">
        <v>8</v>
      </c>
      <c r="C60" s="6" t="s">
        <v>122</v>
      </c>
      <c r="D60" s="7" t="s">
        <v>123</v>
      </c>
      <c r="E60" s="6">
        <v>4</v>
      </c>
      <c r="F60" s="6">
        <v>30</v>
      </c>
      <c r="G60" s="6">
        <v>30</v>
      </c>
      <c r="H60" s="6"/>
      <c r="I60" s="6"/>
      <c r="J60" s="6"/>
      <c r="K60" s="6">
        <v>5</v>
      </c>
    </row>
    <row r="61" spans="1:11" x14ac:dyDescent="0.35">
      <c r="A61" s="27"/>
      <c r="B61" s="6">
        <v>9</v>
      </c>
      <c r="C61" s="6" t="s">
        <v>124</v>
      </c>
      <c r="D61" s="7" t="s">
        <v>125</v>
      </c>
      <c r="E61" s="6">
        <v>3</v>
      </c>
      <c r="F61" s="6">
        <v>15</v>
      </c>
      <c r="G61" s="6">
        <v>30</v>
      </c>
      <c r="H61" s="6"/>
      <c r="I61" s="6"/>
      <c r="J61" s="6"/>
      <c r="K61" s="6">
        <v>6</v>
      </c>
    </row>
    <row r="62" spans="1:11" x14ac:dyDescent="0.35">
      <c r="A62" s="27"/>
      <c r="B62" s="6">
        <v>10</v>
      </c>
      <c r="C62" s="6" t="s">
        <v>126</v>
      </c>
      <c r="D62" s="7" t="s">
        <v>127</v>
      </c>
      <c r="E62" s="6">
        <v>3</v>
      </c>
      <c r="F62" s="6">
        <v>15</v>
      </c>
      <c r="G62" s="6">
        <v>30</v>
      </c>
      <c r="H62" s="6"/>
      <c r="I62" s="6"/>
      <c r="J62" s="6"/>
      <c r="K62" s="6">
        <v>7</v>
      </c>
    </row>
    <row r="63" spans="1:11" x14ac:dyDescent="0.35">
      <c r="A63" s="27"/>
      <c r="B63" s="22" t="s">
        <v>128</v>
      </c>
      <c r="C63" s="22"/>
      <c r="D63" s="22"/>
      <c r="E63" s="4">
        <v>37</v>
      </c>
      <c r="F63" s="4"/>
      <c r="G63" s="4"/>
      <c r="H63" s="29"/>
      <c r="I63" s="29"/>
      <c r="J63" s="29"/>
      <c r="K63" s="29"/>
    </row>
    <row r="64" spans="1:11" x14ac:dyDescent="0.35">
      <c r="A64" s="27"/>
      <c r="B64" s="22" t="s">
        <v>129</v>
      </c>
      <c r="C64" s="22"/>
      <c r="D64" s="22"/>
      <c r="E64" s="4">
        <v>31</v>
      </c>
      <c r="F64" s="4"/>
      <c r="G64" s="4"/>
      <c r="H64" s="29"/>
      <c r="I64" s="29"/>
      <c r="J64" s="29"/>
      <c r="K64" s="29"/>
    </row>
    <row r="65" spans="1:11" x14ac:dyDescent="0.35">
      <c r="A65" s="27"/>
      <c r="B65" s="6">
        <v>1</v>
      </c>
      <c r="C65" s="6" t="s">
        <v>130</v>
      </c>
      <c r="D65" s="7" t="s">
        <v>131</v>
      </c>
      <c r="E65" s="6">
        <v>3</v>
      </c>
      <c r="F65" s="6">
        <v>15</v>
      </c>
      <c r="G65" s="6">
        <v>30</v>
      </c>
      <c r="H65" s="6"/>
      <c r="I65" s="6" t="s">
        <v>132</v>
      </c>
      <c r="J65" s="6"/>
      <c r="K65" s="6">
        <v>3</v>
      </c>
    </row>
    <row r="66" spans="1:11" x14ac:dyDescent="0.35">
      <c r="A66" s="27"/>
      <c r="B66" s="6">
        <v>2</v>
      </c>
      <c r="C66" s="6" t="s">
        <v>133</v>
      </c>
      <c r="D66" s="7" t="s">
        <v>134</v>
      </c>
      <c r="E66" s="6">
        <v>2</v>
      </c>
      <c r="F66" s="6">
        <v>15</v>
      </c>
      <c r="G66" s="6">
        <v>15</v>
      </c>
      <c r="H66" s="6"/>
      <c r="I66" s="6"/>
      <c r="J66" s="6"/>
      <c r="K66" s="6">
        <v>4</v>
      </c>
    </row>
    <row r="67" spans="1:11" x14ac:dyDescent="0.35">
      <c r="A67" s="27"/>
      <c r="B67" s="6">
        <v>3</v>
      </c>
      <c r="C67" s="6" t="s">
        <v>135</v>
      </c>
      <c r="D67" s="7" t="s">
        <v>136</v>
      </c>
      <c r="E67" s="6">
        <v>2</v>
      </c>
      <c r="F67" s="6">
        <v>15</v>
      </c>
      <c r="G67" s="6">
        <v>15</v>
      </c>
      <c r="H67" s="6"/>
      <c r="I67" s="6"/>
      <c r="J67" s="6"/>
      <c r="K67" s="6">
        <v>4</v>
      </c>
    </row>
    <row r="68" spans="1:11" x14ac:dyDescent="0.35">
      <c r="A68" s="27"/>
      <c r="B68" s="6">
        <v>4</v>
      </c>
      <c r="C68" s="6" t="s">
        <v>137</v>
      </c>
      <c r="D68" s="7" t="s">
        <v>138</v>
      </c>
      <c r="E68" s="6">
        <v>3</v>
      </c>
      <c r="F68" s="6">
        <v>15</v>
      </c>
      <c r="G68" s="6">
        <v>30</v>
      </c>
      <c r="H68" s="6"/>
      <c r="I68" s="6"/>
      <c r="J68" s="6"/>
      <c r="K68" s="6">
        <v>2</v>
      </c>
    </row>
    <row r="69" spans="1:11" x14ac:dyDescent="0.35">
      <c r="A69" s="27"/>
      <c r="B69" s="6">
        <v>5</v>
      </c>
      <c r="C69" s="6" t="s">
        <v>139</v>
      </c>
      <c r="D69" s="7" t="s">
        <v>140</v>
      </c>
      <c r="E69" s="6">
        <v>2</v>
      </c>
      <c r="F69" s="6">
        <v>15</v>
      </c>
      <c r="G69" s="6">
        <v>15</v>
      </c>
      <c r="H69" s="6"/>
      <c r="I69" s="6" t="s">
        <v>133</v>
      </c>
      <c r="J69" s="6"/>
      <c r="K69" s="6">
        <v>5</v>
      </c>
    </row>
    <row r="70" spans="1:11" x14ac:dyDescent="0.35">
      <c r="A70" s="27"/>
      <c r="B70" s="6">
        <v>6</v>
      </c>
      <c r="C70" s="6" t="s">
        <v>141</v>
      </c>
      <c r="D70" s="7" t="s">
        <v>142</v>
      </c>
      <c r="E70" s="6">
        <v>2</v>
      </c>
      <c r="F70" s="6">
        <v>15</v>
      </c>
      <c r="G70" s="6">
        <v>15</v>
      </c>
      <c r="H70" s="6"/>
      <c r="I70" s="6" t="s">
        <v>135</v>
      </c>
      <c r="J70" s="6"/>
      <c r="K70" s="6">
        <v>5</v>
      </c>
    </row>
    <row r="71" spans="1:11" x14ac:dyDescent="0.35">
      <c r="A71" s="27"/>
      <c r="B71" s="6">
        <v>7</v>
      </c>
      <c r="C71" s="6" t="s">
        <v>143</v>
      </c>
      <c r="D71" s="7" t="s">
        <v>144</v>
      </c>
      <c r="E71" s="6">
        <v>2</v>
      </c>
      <c r="F71" s="6">
        <v>15</v>
      </c>
      <c r="G71" s="6">
        <v>15</v>
      </c>
      <c r="H71" s="6"/>
      <c r="I71" s="6" t="s">
        <v>139</v>
      </c>
      <c r="J71" s="6"/>
      <c r="K71" s="6">
        <v>6</v>
      </c>
    </row>
    <row r="72" spans="1:11" x14ac:dyDescent="0.35">
      <c r="A72" s="27"/>
      <c r="B72" s="6">
        <v>8</v>
      </c>
      <c r="C72" s="6" t="s">
        <v>132</v>
      </c>
      <c r="D72" s="7" t="s">
        <v>145</v>
      </c>
      <c r="E72" s="6">
        <v>2</v>
      </c>
      <c r="F72" s="6">
        <v>15</v>
      </c>
      <c r="G72" s="6">
        <v>15</v>
      </c>
      <c r="H72" s="6"/>
      <c r="I72" s="6" t="s">
        <v>141</v>
      </c>
      <c r="J72" s="6"/>
      <c r="K72" s="6">
        <v>6</v>
      </c>
    </row>
    <row r="73" spans="1:11" x14ac:dyDescent="0.35">
      <c r="A73" s="27"/>
      <c r="B73" s="6">
        <v>9</v>
      </c>
      <c r="C73" s="6" t="s">
        <v>146</v>
      </c>
      <c r="D73" s="7" t="s">
        <v>147</v>
      </c>
      <c r="E73" s="6">
        <v>2</v>
      </c>
      <c r="F73" s="6">
        <v>15</v>
      </c>
      <c r="G73" s="6">
        <v>15</v>
      </c>
      <c r="H73" s="6"/>
      <c r="I73" s="6"/>
      <c r="J73" s="6"/>
      <c r="K73" s="6">
        <v>4</v>
      </c>
    </row>
    <row r="74" spans="1:11" x14ac:dyDescent="0.35">
      <c r="A74" s="27"/>
      <c r="B74" s="6">
        <v>10</v>
      </c>
      <c r="C74" s="6" t="s">
        <v>148</v>
      </c>
      <c r="D74" s="7" t="s">
        <v>149</v>
      </c>
      <c r="E74" s="6">
        <v>2</v>
      </c>
      <c r="F74" s="6">
        <v>15</v>
      </c>
      <c r="G74" s="6">
        <v>15</v>
      </c>
      <c r="H74" s="6"/>
      <c r="I74" s="6" t="s">
        <v>143</v>
      </c>
      <c r="J74" s="6"/>
      <c r="K74" s="6">
        <v>7</v>
      </c>
    </row>
    <row r="75" spans="1:11" x14ac:dyDescent="0.35">
      <c r="A75" s="27"/>
      <c r="B75" s="6">
        <v>11</v>
      </c>
      <c r="C75" s="6" t="s">
        <v>150</v>
      </c>
      <c r="D75" s="7" t="s">
        <v>151</v>
      </c>
      <c r="E75" s="6">
        <v>2</v>
      </c>
      <c r="F75" s="6">
        <v>15</v>
      </c>
      <c r="G75" s="6">
        <v>15</v>
      </c>
      <c r="H75" s="6"/>
      <c r="I75" s="6" t="s">
        <v>132</v>
      </c>
      <c r="J75" s="6"/>
      <c r="K75" s="6">
        <v>7</v>
      </c>
    </row>
    <row r="76" spans="1:11" x14ac:dyDescent="0.35">
      <c r="A76" s="27"/>
      <c r="B76" s="6">
        <v>12</v>
      </c>
      <c r="C76" s="6" t="s">
        <v>152</v>
      </c>
      <c r="D76" s="7" t="s">
        <v>153</v>
      </c>
      <c r="E76" s="6">
        <v>2</v>
      </c>
      <c r="F76" s="6">
        <v>15</v>
      </c>
      <c r="G76" s="6">
        <v>15</v>
      </c>
      <c r="H76" s="6"/>
      <c r="I76" s="6"/>
      <c r="J76" s="6"/>
      <c r="K76" s="6">
        <v>4</v>
      </c>
    </row>
    <row r="77" spans="1:11" x14ac:dyDescent="0.35">
      <c r="A77" s="27"/>
      <c r="B77" s="6">
        <v>13</v>
      </c>
      <c r="C77" s="6" t="s">
        <v>154</v>
      </c>
      <c r="D77" s="9" t="s">
        <v>155</v>
      </c>
      <c r="E77" s="6">
        <v>3</v>
      </c>
      <c r="F77" s="6">
        <v>45</v>
      </c>
      <c r="G77" s="6">
        <v>0</v>
      </c>
      <c r="H77" s="6"/>
      <c r="I77" s="6"/>
      <c r="J77" s="6"/>
      <c r="K77" s="6">
        <v>7</v>
      </c>
    </row>
    <row r="78" spans="1:11" x14ac:dyDescent="0.35">
      <c r="A78" s="27"/>
      <c r="B78" s="6">
        <v>14</v>
      </c>
      <c r="C78" s="6" t="s">
        <v>156</v>
      </c>
      <c r="D78" s="7" t="s">
        <v>157</v>
      </c>
      <c r="E78" s="6">
        <v>2</v>
      </c>
      <c r="F78" s="6">
        <v>15</v>
      </c>
      <c r="G78" s="6">
        <v>15</v>
      </c>
      <c r="H78" s="6"/>
      <c r="I78" s="6"/>
      <c r="J78" s="6"/>
      <c r="K78" s="6">
        <v>7</v>
      </c>
    </row>
    <row r="79" spans="1:11" x14ac:dyDescent="0.35">
      <c r="A79" s="27"/>
      <c r="B79" s="30" t="s">
        <v>158</v>
      </c>
      <c r="C79" s="30"/>
      <c r="D79" s="30"/>
      <c r="E79" s="4">
        <v>6</v>
      </c>
      <c r="F79" s="4"/>
      <c r="G79" s="4"/>
      <c r="H79" s="29"/>
      <c r="I79" s="29"/>
      <c r="J79" s="29"/>
      <c r="K79" s="29"/>
    </row>
    <row r="80" spans="1:11" x14ac:dyDescent="0.35">
      <c r="A80" s="27"/>
      <c r="B80" s="8">
        <v>1</v>
      </c>
      <c r="C80" s="6" t="s">
        <v>159</v>
      </c>
      <c r="D80" s="7" t="s">
        <v>160</v>
      </c>
      <c r="E80" s="6">
        <v>2</v>
      </c>
      <c r="F80" s="6">
        <v>30</v>
      </c>
      <c r="G80" s="6">
        <v>0</v>
      </c>
      <c r="H80" s="6"/>
      <c r="I80" s="6"/>
      <c r="J80" s="6"/>
      <c r="K80" s="6">
        <v>5</v>
      </c>
    </row>
    <row r="81" spans="1:11" x14ac:dyDescent="0.35">
      <c r="A81" s="27"/>
      <c r="B81" s="8">
        <v>2</v>
      </c>
      <c r="C81" s="6" t="s">
        <v>161</v>
      </c>
      <c r="D81" s="7" t="s">
        <v>162</v>
      </c>
      <c r="E81" s="6">
        <v>2</v>
      </c>
      <c r="F81" s="6">
        <v>30</v>
      </c>
      <c r="G81" s="6">
        <v>0</v>
      </c>
      <c r="H81" s="6"/>
      <c r="I81" s="6"/>
      <c r="J81" s="6"/>
      <c r="K81" s="6">
        <v>5</v>
      </c>
    </row>
    <row r="82" spans="1:11" x14ac:dyDescent="0.35">
      <c r="A82" s="27"/>
      <c r="B82" s="8">
        <v>3</v>
      </c>
      <c r="C82" s="6" t="s">
        <v>163</v>
      </c>
      <c r="D82" s="7" t="s">
        <v>164</v>
      </c>
      <c r="E82" s="6">
        <v>2</v>
      </c>
      <c r="F82" s="6">
        <v>15</v>
      </c>
      <c r="G82" s="6">
        <v>15</v>
      </c>
      <c r="H82" s="6"/>
      <c r="I82" s="6"/>
      <c r="J82" s="6"/>
      <c r="K82" s="6">
        <v>7</v>
      </c>
    </row>
    <row r="83" spans="1:11" x14ac:dyDescent="0.35">
      <c r="A83" s="27"/>
      <c r="B83" s="8">
        <v>4</v>
      </c>
      <c r="C83" s="6" t="s">
        <v>165</v>
      </c>
      <c r="D83" s="7" t="s">
        <v>166</v>
      </c>
      <c r="E83" s="6">
        <v>2</v>
      </c>
      <c r="F83" s="6">
        <v>30</v>
      </c>
      <c r="G83" s="6">
        <v>0</v>
      </c>
      <c r="H83" s="6"/>
      <c r="I83" s="6"/>
      <c r="J83" s="6"/>
      <c r="K83" s="6">
        <v>6</v>
      </c>
    </row>
    <row r="84" spans="1:11" x14ac:dyDescent="0.35">
      <c r="A84" s="27"/>
      <c r="B84" s="8">
        <v>5</v>
      </c>
      <c r="C84" s="6" t="s">
        <v>167</v>
      </c>
      <c r="D84" s="7" t="s">
        <v>168</v>
      </c>
      <c r="E84" s="6">
        <v>2</v>
      </c>
      <c r="F84" s="6">
        <v>30</v>
      </c>
      <c r="G84" s="6">
        <v>0</v>
      </c>
      <c r="H84" s="6"/>
      <c r="I84" s="6"/>
      <c r="J84" s="6"/>
      <c r="K84" s="6">
        <v>6</v>
      </c>
    </row>
    <row r="85" spans="1:11" x14ac:dyDescent="0.35">
      <c r="A85" s="27"/>
      <c r="B85" s="8">
        <v>6</v>
      </c>
      <c r="C85" s="6" t="s">
        <v>169</v>
      </c>
      <c r="D85" s="7" t="s">
        <v>170</v>
      </c>
      <c r="E85" s="6">
        <v>2</v>
      </c>
      <c r="F85" s="6">
        <v>30</v>
      </c>
      <c r="G85" s="6">
        <v>0</v>
      </c>
      <c r="H85" s="6"/>
      <c r="I85" s="6"/>
      <c r="J85" s="6"/>
      <c r="K85" s="6">
        <v>6</v>
      </c>
    </row>
    <row r="86" spans="1:11" x14ac:dyDescent="0.35">
      <c r="A86" s="27"/>
      <c r="B86" s="8">
        <v>7</v>
      </c>
      <c r="C86" s="6" t="s">
        <v>171</v>
      </c>
      <c r="D86" s="7" t="s">
        <v>172</v>
      </c>
      <c r="E86" s="6">
        <v>2</v>
      </c>
      <c r="F86" s="6">
        <v>30</v>
      </c>
      <c r="G86" s="6">
        <v>0</v>
      </c>
      <c r="H86" s="6"/>
      <c r="I86" s="6"/>
      <c r="J86" s="6"/>
      <c r="K86" s="6">
        <v>6</v>
      </c>
    </row>
    <row r="87" spans="1:11" x14ac:dyDescent="0.35">
      <c r="A87" s="27"/>
      <c r="B87" s="8">
        <v>8</v>
      </c>
      <c r="C87" s="6" t="s">
        <v>173</v>
      </c>
      <c r="D87" s="7" t="s">
        <v>174</v>
      </c>
      <c r="E87" s="6">
        <v>2</v>
      </c>
      <c r="F87" s="6">
        <v>15</v>
      </c>
      <c r="G87" s="6">
        <v>15</v>
      </c>
      <c r="H87" s="6"/>
      <c r="I87" s="6"/>
      <c r="J87" s="6"/>
      <c r="K87" s="6">
        <v>6</v>
      </c>
    </row>
    <row r="88" spans="1:11" x14ac:dyDescent="0.35">
      <c r="A88" s="27"/>
      <c r="B88" s="6">
        <v>9</v>
      </c>
      <c r="C88" s="6" t="s">
        <v>175</v>
      </c>
      <c r="D88" s="7" t="s">
        <v>176</v>
      </c>
      <c r="E88" s="8">
        <v>2</v>
      </c>
      <c r="F88" s="6">
        <v>30</v>
      </c>
      <c r="G88" s="6">
        <v>0</v>
      </c>
      <c r="H88" s="6"/>
      <c r="I88" s="6"/>
      <c r="J88" s="6"/>
      <c r="K88" s="6">
        <v>6</v>
      </c>
    </row>
    <row r="89" spans="1:11" x14ac:dyDescent="0.35">
      <c r="A89" s="27"/>
      <c r="B89" s="22" t="s">
        <v>177</v>
      </c>
      <c r="C89" s="22"/>
      <c r="D89" s="22"/>
      <c r="E89" s="4">
        <v>14</v>
      </c>
      <c r="F89" s="4"/>
      <c r="G89" s="4"/>
      <c r="H89" s="6"/>
      <c r="I89" s="6"/>
      <c r="J89" s="6"/>
      <c r="K89" s="6"/>
    </row>
    <row r="90" spans="1:11" ht="28" x14ac:dyDescent="0.35">
      <c r="A90" s="27"/>
      <c r="B90" s="4">
        <v>1</v>
      </c>
      <c r="C90" s="6" t="s">
        <v>178</v>
      </c>
      <c r="D90" s="9" t="s">
        <v>179</v>
      </c>
      <c r="E90" s="6">
        <v>6</v>
      </c>
      <c r="F90" s="6">
        <v>0</v>
      </c>
      <c r="G90" s="6">
        <v>180</v>
      </c>
      <c r="H90" s="6"/>
      <c r="I90" s="8" t="s">
        <v>180</v>
      </c>
      <c r="J90" s="6"/>
      <c r="K90" s="6">
        <v>6</v>
      </c>
    </row>
    <row r="91" spans="1:11" x14ac:dyDescent="0.35">
      <c r="A91" s="27"/>
      <c r="B91" s="6">
        <v>2</v>
      </c>
      <c r="C91" s="6" t="s">
        <v>181</v>
      </c>
      <c r="D91" s="7" t="s">
        <v>182</v>
      </c>
      <c r="E91" s="8">
        <v>8</v>
      </c>
      <c r="F91" s="6">
        <v>0</v>
      </c>
      <c r="G91" s="6">
        <v>240</v>
      </c>
      <c r="H91" s="6"/>
      <c r="I91" s="6"/>
      <c r="J91" s="6"/>
      <c r="K91" s="6">
        <v>8</v>
      </c>
    </row>
    <row r="92" spans="1:11" x14ac:dyDescent="0.35">
      <c r="A92" s="27"/>
      <c r="B92" s="30" t="s">
        <v>183</v>
      </c>
      <c r="C92" s="30"/>
      <c r="D92" s="30"/>
      <c r="E92" s="4">
        <v>6</v>
      </c>
      <c r="F92" s="4"/>
      <c r="G92" s="4"/>
      <c r="H92" s="29"/>
      <c r="I92" s="29"/>
      <c r="J92" s="29"/>
      <c r="K92" s="29"/>
    </row>
    <row r="93" spans="1:11" x14ac:dyDescent="0.35">
      <c r="A93" s="27"/>
      <c r="B93" s="22" t="s">
        <v>184</v>
      </c>
      <c r="C93" s="22"/>
      <c r="D93" s="22"/>
      <c r="E93" s="6">
        <v>6</v>
      </c>
      <c r="F93" s="4"/>
      <c r="G93" s="4"/>
      <c r="H93" s="6"/>
      <c r="I93" s="6"/>
      <c r="J93" s="6"/>
      <c r="K93" s="6"/>
    </row>
    <row r="94" spans="1:11" x14ac:dyDescent="0.35">
      <c r="A94" s="27"/>
      <c r="B94" s="6"/>
      <c r="C94" s="6" t="s">
        <v>185</v>
      </c>
      <c r="D94" s="7" t="s">
        <v>186</v>
      </c>
      <c r="E94" s="8">
        <v>6</v>
      </c>
      <c r="F94" s="6">
        <v>0</v>
      </c>
      <c r="G94" s="6">
        <v>180</v>
      </c>
      <c r="H94" s="6"/>
      <c r="I94" s="6"/>
      <c r="J94" s="6"/>
      <c r="K94" s="6">
        <v>8</v>
      </c>
    </row>
    <row r="95" spans="1:11" x14ac:dyDescent="0.35">
      <c r="A95" s="27"/>
      <c r="B95" s="22" t="s">
        <v>187</v>
      </c>
      <c r="C95" s="22"/>
      <c r="D95" s="22"/>
      <c r="E95" s="5">
        <v>6</v>
      </c>
      <c r="F95" s="5"/>
      <c r="G95" s="5"/>
      <c r="H95" s="6"/>
      <c r="I95" s="6"/>
      <c r="J95" s="6"/>
      <c r="K95" s="6"/>
    </row>
    <row r="96" spans="1:11" x14ac:dyDescent="0.35">
      <c r="A96" s="27"/>
      <c r="B96" s="6">
        <v>1</v>
      </c>
      <c r="C96" s="6" t="s">
        <v>188</v>
      </c>
      <c r="D96" s="10" t="s">
        <v>189</v>
      </c>
      <c r="E96" s="6">
        <v>2</v>
      </c>
      <c r="F96" s="6">
        <v>15</v>
      </c>
      <c r="G96" s="6">
        <v>15</v>
      </c>
      <c r="H96" s="6"/>
      <c r="I96" s="6"/>
      <c r="J96" s="6"/>
      <c r="K96" s="6">
        <v>8</v>
      </c>
    </row>
    <row r="97" spans="1:11" x14ac:dyDescent="0.35">
      <c r="A97" s="27"/>
      <c r="B97" s="6">
        <v>2</v>
      </c>
      <c r="C97" s="6" t="s">
        <v>190</v>
      </c>
      <c r="D97" s="7" t="s">
        <v>191</v>
      </c>
      <c r="E97" s="6">
        <v>2</v>
      </c>
      <c r="F97" s="6">
        <v>15</v>
      </c>
      <c r="G97" s="6">
        <v>15</v>
      </c>
      <c r="H97" s="6"/>
      <c r="I97" s="6"/>
      <c r="J97" s="6"/>
      <c r="K97" s="6">
        <v>8</v>
      </c>
    </row>
    <row r="98" spans="1:11" x14ac:dyDescent="0.35">
      <c r="A98" s="27"/>
      <c r="B98" s="6">
        <v>3</v>
      </c>
      <c r="C98" s="6" t="s">
        <v>192</v>
      </c>
      <c r="D98" s="7" t="s">
        <v>193</v>
      </c>
      <c r="E98" s="6">
        <v>2</v>
      </c>
      <c r="F98" s="6">
        <v>15</v>
      </c>
      <c r="G98" s="6">
        <v>15</v>
      </c>
      <c r="H98" s="6"/>
      <c r="I98" s="6"/>
      <c r="J98" s="6"/>
      <c r="K98" s="6">
        <v>8</v>
      </c>
    </row>
    <row r="99" spans="1:11" x14ac:dyDescent="0.35">
      <c r="A99" s="27"/>
      <c r="B99" s="23" t="s">
        <v>194</v>
      </c>
      <c r="C99" s="23"/>
      <c r="D99" s="23"/>
      <c r="E99" s="4">
        <f>E13+E43</f>
        <v>134</v>
      </c>
      <c r="F99" s="4">
        <f>SUM(F36:F98)</f>
        <v>1180</v>
      </c>
      <c r="G99" s="4">
        <f>SUM(G36:G98)</f>
        <v>1195</v>
      </c>
      <c r="H99" s="4"/>
      <c r="I99" s="4"/>
      <c r="J99" s="4"/>
      <c r="K99" s="4"/>
    </row>
    <row r="100" spans="1:11" x14ac:dyDescent="0.35">
      <c r="A100" s="27"/>
      <c r="B100" s="4"/>
      <c r="C100" s="4"/>
      <c r="D100" s="9" t="s">
        <v>195</v>
      </c>
      <c r="E100" s="6">
        <f>SUM(E14,E19)</f>
        <v>14</v>
      </c>
      <c r="F100" s="6"/>
      <c r="G100" s="4"/>
      <c r="H100" s="4"/>
      <c r="I100" s="4"/>
      <c r="J100" s="4"/>
      <c r="K100" s="4"/>
    </row>
    <row r="101" spans="1:11" x14ac:dyDescent="0.35">
      <c r="A101" s="27"/>
      <c r="B101" s="4"/>
      <c r="C101" s="4"/>
      <c r="D101" s="9" t="s">
        <v>196</v>
      </c>
      <c r="E101" s="6">
        <f>E99-E100</f>
        <v>120</v>
      </c>
      <c r="F101" s="6"/>
      <c r="G101" s="4"/>
      <c r="H101" s="4"/>
      <c r="I101" s="4"/>
      <c r="J101" s="4"/>
      <c r="K101" s="4"/>
    </row>
    <row r="102" spans="1:11" x14ac:dyDescent="0.35">
      <c r="A102" s="27"/>
      <c r="B102" s="4"/>
      <c r="C102" s="4"/>
      <c r="D102" s="9" t="s">
        <v>197</v>
      </c>
      <c r="E102" s="6">
        <f>SUM(E35,E44,E52,E64,E89)</f>
        <v>108</v>
      </c>
      <c r="F102" s="6"/>
      <c r="G102" s="4"/>
      <c r="H102" s="4"/>
      <c r="I102" s="4"/>
      <c r="J102" s="4"/>
      <c r="K102" s="4"/>
    </row>
    <row r="103" spans="1:11" x14ac:dyDescent="0.35">
      <c r="A103" s="28"/>
      <c r="B103" s="4"/>
      <c r="C103" s="4"/>
      <c r="D103" s="9" t="s">
        <v>198</v>
      </c>
      <c r="E103" s="6">
        <f>E101-E102</f>
        <v>12</v>
      </c>
      <c r="F103" s="6"/>
      <c r="G103" s="4"/>
      <c r="H103" s="4"/>
      <c r="I103" s="4"/>
      <c r="J103" s="4"/>
      <c r="K103" s="4"/>
    </row>
  </sheetData>
  <mergeCells count="45">
    <mergeCell ref="B9:K9"/>
    <mergeCell ref="E3:K3"/>
    <mergeCell ref="E4:K4"/>
    <mergeCell ref="B6:K6"/>
    <mergeCell ref="B7:D7"/>
    <mergeCell ref="B8:D8"/>
    <mergeCell ref="H19:K19"/>
    <mergeCell ref="B11:B12"/>
    <mergeCell ref="C11:C12"/>
    <mergeCell ref="D11:D12"/>
    <mergeCell ref="E11:E12"/>
    <mergeCell ref="F11:G11"/>
    <mergeCell ref="H11:J11"/>
    <mergeCell ref="A3:A103"/>
    <mergeCell ref="B64:D64"/>
    <mergeCell ref="H64:K64"/>
    <mergeCell ref="B79:D79"/>
    <mergeCell ref="H79:K79"/>
    <mergeCell ref="B89:D89"/>
    <mergeCell ref="B92:D92"/>
    <mergeCell ref="H92:K92"/>
    <mergeCell ref="B43:D43"/>
    <mergeCell ref="H43:K43"/>
    <mergeCell ref="B44:D44"/>
    <mergeCell ref="H44:K44"/>
    <mergeCell ref="B52:D52"/>
    <mergeCell ref="B63:D63"/>
    <mergeCell ref="H63:K63"/>
    <mergeCell ref="B20:D20"/>
    <mergeCell ref="B93:D93"/>
    <mergeCell ref="B95:D95"/>
    <mergeCell ref="B99:D99"/>
    <mergeCell ref="B2:K2"/>
    <mergeCell ref="B1:K1"/>
    <mergeCell ref="H20:K20"/>
    <mergeCell ref="B23:D23"/>
    <mergeCell ref="H23:K23"/>
    <mergeCell ref="B35:D35"/>
    <mergeCell ref="H35:K35"/>
    <mergeCell ref="K11:K12"/>
    <mergeCell ref="B13:D13"/>
    <mergeCell ref="H13:K13"/>
    <mergeCell ref="B14:D14"/>
    <mergeCell ref="H14:K14"/>
    <mergeCell ref="B19:D1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80A0B-DD81-435F-8CE9-971405EB5BA0}">
  <dimension ref="A1:C8"/>
  <sheetViews>
    <sheetView workbookViewId="0">
      <selection activeCell="A2" sqref="A2:A8"/>
    </sheetView>
  </sheetViews>
  <sheetFormatPr defaultRowHeight="14.5" x14ac:dyDescent="0.35"/>
  <cols>
    <col min="1" max="1" width="34.54296875" customWidth="1"/>
    <col min="2" max="2" width="23.6328125" customWidth="1"/>
    <col min="3" max="3" width="26.36328125" customWidth="1"/>
  </cols>
  <sheetData>
    <row r="1" spans="1:3" x14ac:dyDescent="0.35">
      <c r="A1" s="3" t="s">
        <v>199</v>
      </c>
      <c r="B1" s="3" t="s">
        <v>205</v>
      </c>
      <c r="C1" s="3" t="s">
        <v>208</v>
      </c>
    </row>
    <row r="2" spans="1:3" x14ac:dyDescent="0.35">
      <c r="A2" s="3" t="s">
        <v>200</v>
      </c>
      <c r="B2" s="3" t="s">
        <v>206</v>
      </c>
      <c r="C2" s="3"/>
    </row>
    <row r="3" spans="1:3" x14ac:dyDescent="0.35">
      <c r="A3" s="3" t="s">
        <v>201</v>
      </c>
      <c r="B3" s="3" t="s">
        <v>206</v>
      </c>
      <c r="C3" s="3"/>
    </row>
    <row r="4" spans="1:3" x14ac:dyDescent="0.35">
      <c r="A4" s="3" t="s">
        <v>202</v>
      </c>
      <c r="B4" s="3" t="s">
        <v>207</v>
      </c>
      <c r="C4" s="3" t="s">
        <v>209</v>
      </c>
    </row>
    <row r="5" spans="1:3" x14ac:dyDescent="0.35">
      <c r="A5" s="3" t="s">
        <v>203</v>
      </c>
      <c r="B5" s="3" t="s">
        <v>207</v>
      </c>
      <c r="C5" s="3" t="s">
        <v>209</v>
      </c>
    </row>
    <row r="6" spans="1:3" x14ac:dyDescent="0.35">
      <c r="A6" s="3" t="s">
        <v>12</v>
      </c>
      <c r="B6" s="3" t="s">
        <v>207</v>
      </c>
      <c r="C6" s="3" t="s">
        <v>209</v>
      </c>
    </row>
    <row r="7" spans="1:3" x14ac:dyDescent="0.35">
      <c r="A7" s="3" t="s">
        <v>13</v>
      </c>
      <c r="B7" s="3" t="s">
        <v>207</v>
      </c>
      <c r="C7" s="3" t="s">
        <v>209</v>
      </c>
    </row>
    <row r="8" spans="1:3" x14ac:dyDescent="0.35">
      <c r="A8" s="3" t="s">
        <v>204</v>
      </c>
      <c r="B8" s="3" t="s">
        <v>207</v>
      </c>
      <c r="C8" s="3" t="s">
        <v>209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C7139-5E64-4037-852C-237F7FF51141}">
  <dimension ref="A1:E4"/>
  <sheetViews>
    <sheetView workbookViewId="0">
      <selection activeCell="D5" sqref="D5"/>
    </sheetView>
  </sheetViews>
  <sheetFormatPr defaultRowHeight="14.5" x14ac:dyDescent="0.35"/>
  <cols>
    <col min="1" max="1" width="17.81640625" bestFit="1" customWidth="1"/>
    <col min="2" max="2" width="24.54296875" bestFit="1" customWidth="1"/>
    <col min="3" max="3" width="52.08984375" bestFit="1" customWidth="1"/>
    <col min="4" max="4" width="18.90625" bestFit="1" customWidth="1"/>
    <col min="5" max="5" width="28.54296875" bestFit="1" customWidth="1"/>
  </cols>
  <sheetData>
    <row r="1" spans="1:5" x14ac:dyDescent="0.35">
      <c r="A1" s="3" t="s">
        <v>210</v>
      </c>
      <c r="B1" s="3" t="s">
        <v>211</v>
      </c>
      <c r="C1" s="3" t="s">
        <v>212</v>
      </c>
      <c r="D1" s="3" t="s">
        <v>213</v>
      </c>
      <c r="E1" s="3" t="s">
        <v>208</v>
      </c>
    </row>
    <row r="2" spans="1:5" x14ac:dyDescent="0.35">
      <c r="A2" s="3" t="s">
        <v>220</v>
      </c>
      <c r="B2" s="3" t="s">
        <v>216</v>
      </c>
      <c r="C2" s="3" t="s">
        <v>218</v>
      </c>
      <c r="D2" s="3" t="s">
        <v>219</v>
      </c>
      <c r="E2" s="3" t="s">
        <v>223</v>
      </c>
    </row>
    <row r="3" spans="1:5" x14ac:dyDescent="0.35">
      <c r="A3" s="3" t="s">
        <v>214</v>
      </c>
      <c r="B3" s="3" t="s">
        <v>217</v>
      </c>
      <c r="C3" s="3" t="s">
        <v>221</v>
      </c>
      <c r="D3" s="3" t="s">
        <v>227</v>
      </c>
      <c r="E3" s="3" t="s">
        <v>222</v>
      </c>
    </row>
    <row r="4" spans="1:5" x14ac:dyDescent="0.35">
      <c r="A4" s="3" t="s">
        <v>224</v>
      </c>
      <c r="B4" s="3" t="s">
        <v>215</v>
      </c>
      <c r="C4" s="3" t="s">
        <v>225</v>
      </c>
      <c r="D4" s="3" t="s">
        <v>228</v>
      </c>
      <c r="E4" s="3" t="s">
        <v>226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7CD3-495D-4FB5-AAEB-F8CD9CBC66C0}">
  <dimension ref="A1:E15"/>
  <sheetViews>
    <sheetView workbookViewId="0">
      <selection activeCell="B23" sqref="B23"/>
    </sheetView>
  </sheetViews>
  <sheetFormatPr defaultRowHeight="14.5" x14ac:dyDescent="0.35"/>
  <cols>
    <col min="1" max="1" width="18.36328125" customWidth="1"/>
    <col min="2" max="2" width="31.36328125" customWidth="1"/>
    <col min="3" max="3" width="42.08984375" customWidth="1"/>
    <col min="4" max="4" width="38.36328125" customWidth="1"/>
    <col min="5" max="5" width="23.36328125" customWidth="1"/>
  </cols>
  <sheetData>
    <row r="1" spans="1:5" x14ac:dyDescent="0.35">
      <c r="A1" s="3" t="s">
        <v>229</v>
      </c>
      <c r="B1" s="3" t="s">
        <v>199</v>
      </c>
      <c r="C1" s="3" t="s">
        <v>212</v>
      </c>
      <c r="D1" s="3" t="s">
        <v>230</v>
      </c>
      <c r="E1" s="3" t="s">
        <v>231</v>
      </c>
    </row>
    <row r="2" spans="1:5" x14ac:dyDescent="0.35">
      <c r="A2" s="39" t="s">
        <v>232</v>
      </c>
      <c r="B2" s="3" t="s">
        <v>200</v>
      </c>
      <c r="C2" s="3" t="s">
        <v>238</v>
      </c>
      <c r="D2" s="3" t="s">
        <v>234</v>
      </c>
      <c r="E2" s="3" t="s">
        <v>235</v>
      </c>
    </row>
    <row r="3" spans="1:5" x14ac:dyDescent="0.35">
      <c r="A3" s="39"/>
      <c r="B3" s="3" t="s">
        <v>201</v>
      </c>
      <c r="C3" s="3" t="s">
        <v>238</v>
      </c>
      <c r="D3" s="3" t="s">
        <v>237</v>
      </c>
      <c r="E3" s="3" t="s">
        <v>235</v>
      </c>
    </row>
    <row r="4" spans="1:5" x14ac:dyDescent="0.35">
      <c r="A4" s="39"/>
      <c r="B4" s="3" t="s">
        <v>202</v>
      </c>
      <c r="C4" s="3" t="s">
        <v>238</v>
      </c>
      <c r="D4" s="3" t="s">
        <v>237</v>
      </c>
      <c r="E4" s="3" t="s">
        <v>235</v>
      </c>
    </row>
    <row r="5" spans="1:5" x14ac:dyDescent="0.35">
      <c r="A5" s="39"/>
      <c r="B5" s="3" t="s">
        <v>203</v>
      </c>
      <c r="C5" s="3" t="s">
        <v>238</v>
      </c>
      <c r="D5" s="3" t="s">
        <v>237</v>
      </c>
      <c r="E5" s="3" t="s">
        <v>235</v>
      </c>
    </row>
    <row r="6" spans="1:5" x14ac:dyDescent="0.35">
      <c r="A6" s="39"/>
      <c r="B6" s="3" t="s">
        <v>12</v>
      </c>
      <c r="C6" s="3" t="s">
        <v>238</v>
      </c>
      <c r="D6" s="3" t="s">
        <v>237</v>
      </c>
      <c r="E6" s="3" t="s">
        <v>235</v>
      </c>
    </row>
    <row r="7" spans="1:5" x14ac:dyDescent="0.35">
      <c r="A7" s="39"/>
      <c r="B7" s="3" t="s">
        <v>13</v>
      </c>
      <c r="C7" s="3" t="s">
        <v>238</v>
      </c>
      <c r="D7" s="3" t="s">
        <v>237</v>
      </c>
      <c r="E7" s="3" t="s">
        <v>235</v>
      </c>
    </row>
    <row r="8" spans="1:5" x14ac:dyDescent="0.35">
      <c r="A8" s="39"/>
      <c r="B8" s="3" t="s">
        <v>204</v>
      </c>
      <c r="C8" s="3" t="s">
        <v>239</v>
      </c>
      <c r="D8" s="3" t="s">
        <v>237</v>
      </c>
      <c r="E8" s="3" t="s">
        <v>235</v>
      </c>
    </row>
    <row r="9" spans="1:5" x14ac:dyDescent="0.35">
      <c r="A9" s="39" t="s">
        <v>233</v>
      </c>
      <c r="B9" s="3" t="s">
        <v>200</v>
      </c>
      <c r="C9" s="3" t="s">
        <v>239</v>
      </c>
      <c r="D9" s="3" t="s">
        <v>234</v>
      </c>
      <c r="E9" s="3" t="s">
        <v>236</v>
      </c>
    </row>
    <row r="10" spans="1:5" x14ac:dyDescent="0.35">
      <c r="A10" s="39"/>
      <c r="B10" s="3" t="s">
        <v>201</v>
      </c>
      <c r="C10" s="3" t="s">
        <v>239</v>
      </c>
      <c r="D10" s="3" t="s">
        <v>237</v>
      </c>
      <c r="E10" s="3" t="s">
        <v>236</v>
      </c>
    </row>
    <row r="11" spans="1:5" x14ac:dyDescent="0.35">
      <c r="A11" s="39"/>
      <c r="B11" s="3" t="s">
        <v>202</v>
      </c>
      <c r="C11" s="3" t="s">
        <v>239</v>
      </c>
      <c r="D11" s="3" t="s">
        <v>237</v>
      </c>
      <c r="E11" s="3" t="s">
        <v>236</v>
      </c>
    </row>
    <row r="12" spans="1:5" x14ac:dyDescent="0.35">
      <c r="A12" s="39"/>
      <c r="B12" s="3" t="s">
        <v>203</v>
      </c>
      <c r="C12" s="3" t="s">
        <v>239</v>
      </c>
      <c r="D12" s="3" t="s">
        <v>237</v>
      </c>
      <c r="E12" s="3" t="s">
        <v>236</v>
      </c>
    </row>
    <row r="13" spans="1:5" x14ac:dyDescent="0.35">
      <c r="A13" s="39"/>
      <c r="B13" s="3" t="s">
        <v>12</v>
      </c>
      <c r="C13" s="3" t="s">
        <v>239</v>
      </c>
      <c r="D13" s="3" t="s">
        <v>237</v>
      </c>
      <c r="E13" s="3" t="s">
        <v>236</v>
      </c>
    </row>
    <row r="14" spans="1:5" x14ac:dyDescent="0.35">
      <c r="A14" s="39"/>
      <c r="B14" s="3" t="s">
        <v>13</v>
      </c>
      <c r="C14" s="3" t="s">
        <v>239</v>
      </c>
      <c r="D14" s="3" t="s">
        <v>237</v>
      </c>
      <c r="E14" s="3" t="s">
        <v>236</v>
      </c>
    </row>
    <row r="15" spans="1:5" x14ac:dyDescent="0.35">
      <c r="A15" s="39"/>
      <c r="B15" s="3" t="s">
        <v>204</v>
      </c>
      <c r="C15" s="3" t="s">
        <v>239</v>
      </c>
      <c r="D15" s="3" t="s">
        <v>237</v>
      </c>
      <c r="E15" s="3" t="s">
        <v>236</v>
      </c>
    </row>
  </sheetData>
  <mergeCells count="2">
    <mergeCell ref="A2:A8"/>
    <mergeCell ref="A9:A15"/>
  </mergeCells>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911C5-1C2C-42D3-A02C-5A8D65336C22}">
  <dimension ref="A1"/>
  <sheetViews>
    <sheetView workbookViewId="0"/>
  </sheetViews>
  <sheetFormatPr defaultRowHeight="14.5" x14ac:dyDescent="0.3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B9827-3D78-405E-AB3A-CF3FBC0A5186}">
  <dimension ref="A1:D8"/>
  <sheetViews>
    <sheetView workbookViewId="0">
      <selection activeCell="E8" sqref="E8"/>
    </sheetView>
  </sheetViews>
  <sheetFormatPr defaultRowHeight="14.5" x14ac:dyDescent="0.35"/>
  <cols>
    <col min="1" max="1" width="29.7265625" customWidth="1"/>
    <col min="2" max="2" width="52" customWidth="1"/>
    <col min="3" max="3" width="17.6328125" customWidth="1"/>
    <col min="4" max="4" width="20.90625" customWidth="1"/>
    <col min="5" max="5" width="34.90625" customWidth="1"/>
  </cols>
  <sheetData>
    <row r="1" spans="1:4" x14ac:dyDescent="0.35">
      <c r="A1" s="3" t="s">
        <v>240</v>
      </c>
      <c r="B1" s="3" t="s">
        <v>241</v>
      </c>
      <c r="C1" s="3" t="s">
        <v>242</v>
      </c>
      <c r="D1" s="3" t="s">
        <v>243</v>
      </c>
    </row>
    <row r="2" spans="1:4" x14ac:dyDescent="0.35">
      <c r="A2" s="3" t="s">
        <v>244</v>
      </c>
      <c r="B2" s="3" t="s">
        <v>249</v>
      </c>
      <c r="C2" s="3" t="s">
        <v>258</v>
      </c>
      <c r="D2" s="3" t="s">
        <v>259</v>
      </c>
    </row>
    <row r="3" spans="1:4" x14ac:dyDescent="0.35">
      <c r="A3" s="3" t="s">
        <v>245</v>
      </c>
      <c r="B3" s="3" t="s">
        <v>250</v>
      </c>
      <c r="C3" s="3" t="s">
        <v>258</v>
      </c>
      <c r="D3" s="3" t="s">
        <v>260</v>
      </c>
    </row>
    <row r="4" spans="1:4" x14ac:dyDescent="0.35">
      <c r="A4" s="3" t="s">
        <v>246</v>
      </c>
      <c r="B4" s="3" t="s">
        <v>251</v>
      </c>
      <c r="C4" s="3" t="s">
        <v>258</v>
      </c>
      <c r="D4" s="3" t="s">
        <v>261</v>
      </c>
    </row>
    <row r="5" spans="1:4" x14ac:dyDescent="0.35">
      <c r="A5" s="3" t="s">
        <v>247</v>
      </c>
      <c r="B5" s="3" t="s">
        <v>252</v>
      </c>
      <c r="C5" s="3" t="s">
        <v>258</v>
      </c>
      <c r="D5" s="3" t="s">
        <v>262</v>
      </c>
    </row>
    <row r="6" spans="1:4" x14ac:dyDescent="0.35">
      <c r="A6" s="3" t="s">
        <v>248</v>
      </c>
      <c r="B6" s="3" t="s">
        <v>253</v>
      </c>
      <c r="C6" s="3" t="s">
        <v>258</v>
      </c>
      <c r="D6" s="3" t="s">
        <v>263</v>
      </c>
    </row>
    <row r="7" spans="1:4" x14ac:dyDescent="0.35">
      <c r="A7" s="3" t="s">
        <v>255</v>
      </c>
      <c r="B7" s="3" t="s">
        <v>254</v>
      </c>
      <c r="C7" s="3" t="s">
        <v>258</v>
      </c>
      <c r="D7" s="3" t="s">
        <v>264</v>
      </c>
    </row>
    <row r="8" spans="1:4" x14ac:dyDescent="0.35">
      <c r="A8" s="3" t="s">
        <v>256</v>
      </c>
      <c r="B8" s="3" t="s">
        <v>257</v>
      </c>
      <c r="C8" s="3" t="s">
        <v>258</v>
      </c>
      <c r="D8" s="3" t="s">
        <v>265</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A3FF9-DED6-479A-9E08-2A13D21646F1}">
  <dimension ref="A1"/>
  <sheetViews>
    <sheetView workbookViewId="0"/>
  </sheetViews>
  <sheetFormatPr defaultRowHeight="14.5" x14ac:dyDescent="0.3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67524-FD86-4FC8-A132-D3B6B85CBF8B}">
  <dimension ref="A1"/>
  <sheetViews>
    <sheetView workbookViewId="0">
      <selection activeCell="I19" sqref="I19"/>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TONGQUAT</vt:lpstr>
      <vt:lpstr>GIANGVIEN</vt:lpstr>
      <vt:lpstr>CHUONGTRINHDAOTAO</vt:lpstr>
      <vt:lpstr>HOCPHI</vt:lpstr>
      <vt:lpstr>HOCBONG</vt:lpstr>
      <vt:lpstr>THUCTAP</vt:lpstr>
      <vt:lpstr>NGHIENCUUKHOAHOC</vt:lpstr>
      <vt:lpstr>CAULACBO</vt:lpstr>
      <vt:lpstr>DOANHOI</vt:lpstr>
      <vt:lpstr>KHAC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Tac Pham Van</dc:creator>
  <cp:lastModifiedBy>Tac Pham Van</cp:lastModifiedBy>
  <dcterms:created xsi:type="dcterms:W3CDTF">2026-07-13T12:21:30Z</dcterms:created>
  <dcterms:modified xsi:type="dcterms:W3CDTF">2026-07-13T13:17:27Z</dcterms:modified>
</cp:coreProperties>
</file>